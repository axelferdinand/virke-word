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827"/>
  <workbookPr codeName="ThisWorkbook" autoCompressPictures="0" defaultThemeVersion="124226"/>
  <mc:AlternateContent xmlns:mc="http://schemas.openxmlformats.org/markup-compatibility/2006">
    <mc:Choice Requires="x15">
      <x15ac:absPath xmlns:x15ac="http://schemas.microsoft.com/office/spreadsheetml/2010/11/ac" url="H:\Klienter\Vidar\SG\Styre Norge 2020 - prosjekt\Skjemabank\"/>
    </mc:Choice>
  </mc:AlternateContent>
  <xr:revisionPtr revIDLastSave="0" documentId="13_ncr:1_{83A7DAE4-B0B2-4E68-B4E4-DC70863BD203}" xr6:coauthVersionLast="45" xr6:coauthVersionMax="45" xr10:uidLastSave="{00000000-0000-0000-0000-000000000000}"/>
  <bookViews>
    <workbookView xWindow="-120" yWindow="-120" windowWidth="29040" windowHeight="15840" tabRatio="858" xr2:uid="{00000000-000D-0000-FFFF-FFFF00000000}"/>
  </bookViews>
  <sheets>
    <sheet name="Info" sheetId="28" r:id="rId1"/>
    <sheet name="Innstillinger" sheetId="27" r:id="rId2"/>
    <sheet name="Sammendrag historisk " sheetId="12" r:id="rId3"/>
    <sheet name="Styrerapport" sheetId="18" r:id="rId4"/>
    <sheet name="Budsjett" sheetId="24" r:id="rId5"/>
    <sheet name="Lønn " sheetId="25" r:id="rId6"/>
  </sheets>
  <definedNames>
    <definedName name="ArbeidsgiverAvgift">Innstillinger!$D$8</definedName>
    <definedName name="Feriepenger">Innstillinger!$D$10</definedName>
    <definedName name="Firmanavn">Innstillinger!$D$4</definedName>
    <definedName name="Pensjon">Innstillinger!$D$12</definedName>
    <definedName name="StartÅr">Innstillinger!$D$6</definedName>
    <definedName name="Utfyllingsmodus">Innstillinger!$H$14</definedName>
    <definedName name="_xlnm.Print_Area" localSheetId="4">Budsjett!$C$1:$P$119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B2" i="28" l="1"/>
  <c r="P119" i="24" l="1"/>
  <c r="P117" i="24"/>
  <c r="P35" i="24"/>
  <c r="P36" i="24"/>
  <c r="P37" i="24"/>
  <c r="P38" i="24"/>
  <c r="P39" i="24"/>
  <c r="P40" i="24"/>
  <c r="P41" i="24"/>
  <c r="P42" i="24"/>
  <c r="P43" i="24"/>
  <c r="P44" i="24"/>
  <c r="P45" i="24"/>
  <c r="P46" i="24"/>
  <c r="P47" i="24"/>
  <c r="P48" i="24"/>
  <c r="P34" i="24"/>
  <c r="P49" i="24" s="1"/>
  <c r="D49" i="24"/>
  <c r="P110" i="24"/>
  <c r="P83" i="24"/>
  <c r="P28" i="24"/>
  <c r="P13" i="24"/>
  <c r="D4" i="12" l="1"/>
  <c r="E14" i="18" l="1"/>
  <c r="F14" i="18"/>
  <c r="G14" i="18"/>
  <c r="H14" i="18"/>
  <c r="I14" i="18"/>
  <c r="J14" i="18"/>
  <c r="K14" i="18"/>
  <c r="L14" i="18"/>
  <c r="M14" i="18"/>
  <c r="N14" i="18"/>
  <c r="O14" i="18"/>
  <c r="D14" i="18"/>
  <c r="E117" i="24" l="1"/>
  <c r="F117" i="24"/>
  <c r="G117" i="24"/>
  <c r="H117" i="24"/>
  <c r="I117" i="24"/>
  <c r="J117" i="24"/>
  <c r="K117" i="24"/>
  <c r="L117" i="24"/>
  <c r="M117" i="24"/>
  <c r="N117" i="24"/>
  <c r="O117" i="24"/>
  <c r="D117" i="24" l="1"/>
  <c r="B2" i="25" l="1"/>
  <c r="B2" i="24"/>
  <c r="B2" i="18"/>
  <c r="B2" i="12"/>
  <c r="B2" i="27"/>
  <c r="D83" i="24" l="1"/>
  <c r="P68" i="24"/>
  <c r="P69" i="24"/>
  <c r="P70" i="24"/>
  <c r="P71" i="24"/>
  <c r="P72" i="24"/>
  <c r="P73" i="24"/>
  <c r="P74" i="24"/>
  <c r="P75" i="24"/>
  <c r="P76" i="24"/>
  <c r="P77" i="24"/>
  <c r="P102" i="24"/>
  <c r="P103" i="24"/>
  <c r="P104" i="24"/>
  <c r="P105" i="24"/>
  <c r="P106" i="24"/>
  <c r="P107" i="24"/>
  <c r="P108" i="24"/>
  <c r="P109" i="24"/>
  <c r="E110" i="24"/>
  <c r="F110" i="24"/>
  <c r="G110" i="24"/>
  <c r="H110" i="24"/>
  <c r="I110" i="24"/>
  <c r="J110" i="24"/>
  <c r="K110" i="24"/>
  <c r="L110" i="24"/>
  <c r="M110" i="24"/>
  <c r="N110" i="24"/>
  <c r="O110" i="24"/>
  <c r="D110" i="24"/>
  <c r="E33" i="18"/>
  <c r="F33" i="18"/>
  <c r="G33" i="18"/>
  <c r="H33" i="18"/>
  <c r="I33" i="18"/>
  <c r="J33" i="18"/>
  <c r="K33" i="18"/>
  <c r="L33" i="18"/>
  <c r="M33" i="18"/>
  <c r="N33" i="18"/>
  <c r="O33" i="18"/>
  <c r="D33" i="18"/>
  <c r="T5" i="18"/>
  <c r="Q5" i="25"/>
  <c r="D35" i="18" l="1"/>
  <c r="P11" i="18" l="1"/>
  <c r="C11" i="18" l="1"/>
  <c r="T4" i="18"/>
  <c r="C74" i="18"/>
  <c r="C75" i="18"/>
  <c r="C76" i="18"/>
  <c r="C77" i="18"/>
  <c r="C78" i="18"/>
  <c r="C79" i="18"/>
  <c r="C80" i="18"/>
  <c r="C81" i="18"/>
  <c r="C82" i="18"/>
  <c r="C73" i="18"/>
  <c r="B1" i="24" l="1"/>
  <c r="B1" i="18"/>
  <c r="J13" i="25" l="1"/>
  <c r="I34" i="24" s="1"/>
  <c r="J15" i="25" l="1"/>
  <c r="J17" i="25"/>
  <c r="J18" i="25" s="1"/>
  <c r="I42" i="24" s="1"/>
  <c r="Q8" i="25"/>
  <c r="F13" i="25"/>
  <c r="E34" i="24" s="1"/>
  <c r="G13" i="25"/>
  <c r="F34" i="24" s="1"/>
  <c r="H13" i="25"/>
  <c r="G34" i="24" s="1"/>
  <c r="I13" i="25"/>
  <c r="H34" i="24" s="1"/>
  <c r="K13" i="25"/>
  <c r="J34" i="24" s="1"/>
  <c r="L13" i="25"/>
  <c r="K34" i="24" s="1"/>
  <c r="M13" i="25"/>
  <c r="L34" i="24" s="1"/>
  <c r="N13" i="25"/>
  <c r="M34" i="24" s="1"/>
  <c r="O13" i="25"/>
  <c r="N34" i="24" s="1"/>
  <c r="P13" i="25"/>
  <c r="O34" i="24" s="1"/>
  <c r="E13" i="25"/>
  <c r="D34" i="24" s="1"/>
  <c r="J14" i="25" l="1"/>
  <c r="I41" i="24" s="1"/>
  <c r="I46" i="24"/>
  <c r="I37" i="24"/>
  <c r="J16" i="25"/>
  <c r="I38" i="24" s="1"/>
  <c r="P15" i="25"/>
  <c r="P17" i="25"/>
  <c r="P14" i="25" s="1"/>
  <c r="O41" i="24" s="1"/>
  <c r="O17" i="25"/>
  <c r="O15" i="25"/>
  <c r="F17" i="25"/>
  <c r="F18" i="25" s="1"/>
  <c r="E42" i="24" s="1"/>
  <c r="F15" i="25"/>
  <c r="N17" i="25"/>
  <c r="N18" i="25" s="1"/>
  <c r="M42" i="24" s="1"/>
  <c r="N15" i="25"/>
  <c r="L17" i="25"/>
  <c r="L18" i="25" s="1"/>
  <c r="K42" i="24" s="1"/>
  <c r="L15" i="25"/>
  <c r="K15" i="25"/>
  <c r="K17" i="25"/>
  <c r="K18" i="25" s="1"/>
  <c r="J42" i="24" s="1"/>
  <c r="I15" i="25"/>
  <c r="I17" i="25"/>
  <c r="I18" i="25" s="1"/>
  <c r="H42" i="24" s="1"/>
  <c r="G17" i="25"/>
  <c r="G14" i="25" s="1"/>
  <c r="F41" i="24" s="1"/>
  <c r="G15" i="25"/>
  <c r="M15" i="25"/>
  <c r="M17" i="25"/>
  <c r="M18" i="25" s="1"/>
  <c r="L42" i="24" s="1"/>
  <c r="E15" i="25"/>
  <c r="E17" i="25"/>
  <c r="E18" i="25" s="1"/>
  <c r="D42" i="24" s="1"/>
  <c r="H17" i="25"/>
  <c r="H18" i="25" s="1"/>
  <c r="G42" i="24" s="1"/>
  <c r="H15" i="25"/>
  <c r="E35" i="18"/>
  <c r="F35" i="18"/>
  <c r="G35" i="18"/>
  <c r="H35" i="18"/>
  <c r="I35" i="18"/>
  <c r="J35" i="18"/>
  <c r="K35" i="18"/>
  <c r="L35" i="18"/>
  <c r="M35" i="18"/>
  <c r="N35" i="18"/>
  <c r="O35" i="18"/>
  <c r="N46" i="24" l="1"/>
  <c r="O18" i="25"/>
  <c r="N42" i="24" s="1"/>
  <c r="O46" i="24"/>
  <c r="P18" i="25"/>
  <c r="O42" i="24" s="1"/>
  <c r="F46" i="24"/>
  <c r="G18" i="25"/>
  <c r="F42" i="24" s="1"/>
  <c r="J19" i="25"/>
  <c r="L37" i="24"/>
  <c r="M16" i="25"/>
  <c r="L38" i="24" s="1"/>
  <c r="I14" i="25"/>
  <c r="H41" i="24" s="1"/>
  <c r="H46" i="24"/>
  <c r="K37" i="24"/>
  <c r="L16" i="25"/>
  <c r="K38" i="24" s="1"/>
  <c r="F37" i="24"/>
  <c r="G16" i="25"/>
  <c r="F38" i="24" s="1"/>
  <c r="L14" i="25"/>
  <c r="K41" i="24" s="1"/>
  <c r="K46" i="24"/>
  <c r="G37" i="24"/>
  <c r="H16" i="25"/>
  <c r="G38" i="24" s="1"/>
  <c r="N14" i="25"/>
  <c r="M46" i="24"/>
  <c r="O37" i="24"/>
  <c r="P16" i="25"/>
  <c r="O38" i="24" s="1"/>
  <c r="H14" i="25"/>
  <c r="G41" i="24" s="1"/>
  <c r="G46" i="24"/>
  <c r="E37" i="24"/>
  <c r="F16" i="25"/>
  <c r="E38" i="24" s="1"/>
  <c r="E14" i="25"/>
  <c r="D41" i="24" s="1"/>
  <c r="D46" i="24"/>
  <c r="H37" i="24"/>
  <c r="I16" i="25"/>
  <c r="H38" i="24" s="1"/>
  <c r="F14" i="25"/>
  <c r="E41" i="24" s="1"/>
  <c r="E46" i="24"/>
  <c r="D37" i="24"/>
  <c r="E16" i="25"/>
  <c r="D38" i="24" s="1"/>
  <c r="K14" i="25"/>
  <c r="J41" i="24" s="1"/>
  <c r="J46" i="24"/>
  <c r="N37" i="24"/>
  <c r="O16" i="25"/>
  <c r="N38" i="24" s="1"/>
  <c r="M37" i="24"/>
  <c r="N16" i="25"/>
  <c r="M38" i="24" s="1"/>
  <c r="M14" i="25"/>
  <c r="L46" i="24"/>
  <c r="J37" i="24"/>
  <c r="K16" i="25"/>
  <c r="J38" i="24" s="1"/>
  <c r="O14" i="25"/>
  <c r="N41" i="24" s="1"/>
  <c r="P13" i="18"/>
  <c r="N19" i="25" l="1"/>
  <c r="M41" i="24"/>
  <c r="M19" i="25"/>
  <c r="L41" i="24"/>
  <c r="I19" i="25"/>
  <c r="K19" i="25"/>
  <c r="H19" i="25"/>
  <c r="F19" i="25"/>
  <c r="L19" i="25"/>
  <c r="E19" i="25"/>
  <c r="P19" i="25"/>
  <c r="O19" i="25"/>
  <c r="G19" i="25"/>
  <c r="P12" i="18"/>
  <c r="P14" i="18" s="1"/>
  <c r="E81" i="18"/>
  <c r="F81" i="18"/>
  <c r="G81" i="18"/>
  <c r="H81" i="18"/>
  <c r="I81" i="18"/>
  <c r="J81" i="18"/>
  <c r="K81" i="18"/>
  <c r="L81" i="18"/>
  <c r="M81" i="18"/>
  <c r="N81" i="18"/>
  <c r="O81" i="18"/>
  <c r="D81" i="18"/>
  <c r="E79" i="18"/>
  <c r="F79" i="18"/>
  <c r="G79" i="18"/>
  <c r="H79" i="18"/>
  <c r="I79" i="18"/>
  <c r="J79" i="18"/>
  <c r="K79" i="18"/>
  <c r="L79" i="18"/>
  <c r="M79" i="18"/>
  <c r="N79" i="18"/>
  <c r="O79" i="18"/>
  <c r="D79" i="18"/>
  <c r="D32" i="18" l="1"/>
  <c r="D78" i="18" s="1"/>
  <c r="Q11" i="25"/>
  <c r="Q10" i="25"/>
  <c r="Q9" i="25"/>
  <c r="Q7" i="25"/>
  <c r="Q6" i="25"/>
  <c r="Q13" i="25" l="1"/>
  <c r="P114" i="24"/>
  <c r="P115" i="24"/>
  <c r="P116" i="24"/>
  <c r="D23" i="12" s="1"/>
  <c r="P113" i="24"/>
  <c r="P87" i="24"/>
  <c r="P88" i="24"/>
  <c r="P89" i="24"/>
  <c r="P90" i="24"/>
  <c r="P91" i="24"/>
  <c r="P92" i="24"/>
  <c r="P93" i="24"/>
  <c r="P94" i="24"/>
  <c r="P95" i="24"/>
  <c r="P96" i="24"/>
  <c r="P97" i="24"/>
  <c r="P98" i="24"/>
  <c r="P99" i="24"/>
  <c r="P100" i="24"/>
  <c r="P101" i="24"/>
  <c r="P86" i="24"/>
  <c r="P53" i="24"/>
  <c r="P54" i="24"/>
  <c r="P55" i="24"/>
  <c r="P56" i="24"/>
  <c r="P57" i="24"/>
  <c r="P58" i="24"/>
  <c r="P59" i="24"/>
  <c r="P60" i="24"/>
  <c r="P61" i="24"/>
  <c r="P62" i="24"/>
  <c r="P63" i="24"/>
  <c r="P64" i="24"/>
  <c r="P65" i="24"/>
  <c r="P66" i="24"/>
  <c r="P67" i="24"/>
  <c r="P78" i="24"/>
  <c r="P79" i="24"/>
  <c r="P80" i="24"/>
  <c r="P81" i="24"/>
  <c r="P82" i="24"/>
  <c r="P52" i="24"/>
  <c r="D16" i="12" s="1"/>
  <c r="E83" i="24"/>
  <c r="F83" i="24"/>
  <c r="F32" i="18" s="1"/>
  <c r="F78" i="18" s="1"/>
  <c r="G83" i="24"/>
  <c r="G32" i="18" s="1"/>
  <c r="G78" i="18" s="1"/>
  <c r="H83" i="24"/>
  <c r="H32" i="18" s="1"/>
  <c r="H78" i="18" s="1"/>
  <c r="I83" i="24"/>
  <c r="I32" i="18" s="1"/>
  <c r="I78" i="18" s="1"/>
  <c r="J83" i="24"/>
  <c r="J32" i="18" s="1"/>
  <c r="J78" i="18" s="1"/>
  <c r="K83" i="24"/>
  <c r="K32" i="18" s="1"/>
  <c r="K78" i="18" s="1"/>
  <c r="L83" i="24"/>
  <c r="L32" i="18" s="1"/>
  <c r="L78" i="18" s="1"/>
  <c r="M83" i="24"/>
  <c r="M32" i="18" s="1"/>
  <c r="M78" i="18" s="1"/>
  <c r="N83" i="24"/>
  <c r="N32" i="18" s="1"/>
  <c r="N78" i="18" s="1"/>
  <c r="O83" i="24"/>
  <c r="O32" i="18" s="1"/>
  <c r="O78" i="18" s="1"/>
  <c r="G49" i="24"/>
  <c r="G31" i="18" s="1"/>
  <c r="P17" i="24"/>
  <c r="P18" i="24"/>
  <c r="P19" i="24"/>
  <c r="P20" i="24"/>
  <c r="P21" i="24"/>
  <c r="P22" i="24"/>
  <c r="P23" i="24"/>
  <c r="P24" i="24"/>
  <c r="P25" i="24"/>
  <c r="P26" i="24"/>
  <c r="P16" i="24"/>
  <c r="E28" i="24"/>
  <c r="F28" i="24"/>
  <c r="G28" i="24"/>
  <c r="H28" i="24"/>
  <c r="I28" i="24"/>
  <c r="J28" i="24"/>
  <c r="K28" i="24"/>
  <c r="L28" i="24"/>
  <c r="D28" i="24"/>
  <c r="P8" i="24"/>
  <c r="P9" i="24"/>
  <c r="P10" i="24"/>
  <c r="P11" i="24"/>
  <c r="P12" i="24"/>
  <c r="P7" i="24"/>
  <c r="E13" i="24"/>
  <c r="F13" i="24"/>
  <c r="G13" i="24"/>
  <c r="H13" i="24"/>
  <c r="I13" i="24"/>
  <c r="J13" i="24"/>
  <c r="K13" i="24"/>
  <c r="L13" i="24"/>
  <c r="M13" i="24"/>
  <c r="N13" i="24"/>
  <c r="O13" i="24"/>
  <c r="D13" i="24"/>
  <c r="D22" i="12" l="1"/>
  <c r="D24" i="12" s="1"/>
  <c r="D31" i="18"/>
  <c r="D7" i="18"/>
  <c r="E32" i="18"/>
  <c r="E78" i="18" s="1"/>
  <c r="F27" i="18"/>
  <c r="F73" i="18" s="1"/>
  <c r="F6" i="18"/>
  <c r="M6" i="18"/>
  <c r="M27" i="18"/>
  <c r="M73" i="18" s="1"/>
  <c r="O27" i="18"/>
  <c r="O6" i="18"/>
  <c r="K28" i="18"/>
  <c r="J28" i="18"/>
  <c r="E28" i="18"/>
  <c r="E74" i="18" s="1"/>
  <c r="L28" i="18"/>
  <c r="L74" i="18" s="1"/>
  <c r="J27" i="18"/>
  <c r="J73" i="18" s="1"/>
  <c r="J6" i="18"/>
  <c r="I28" i="18"/>
  <c r="I74" i="18" s="1"/>
  <c r="F28" i="18"/>
  <c r="F74" i="18" s="1"/>
  <c r="D28" i="18"/>
  <c r="D74" i="18" s="1"/>
  <c r="L6" i="18"/>
  <c r="L27" i="18"/>
  <c r="L73" i="18" s="1"/>
  <c r="K6" i="18"/>
  <c r="K27" i="18"/>
  <c r="K73" i="18" s="1"/>
  <c r="I27" i="18"/>
  <c r="I73" i="18" s="1"/>
  <c r="I6" i="18"/>
  <c r="H28" i="18"/>
  <c r="H74" i="18" s="1"/>
  <c r="G6" i="18"/>
  <c r="G27" i="18"/>
  <c r="G73" i="18" s="1"/>
  <c r="N6" i="18"/>
  <c r="N27" i="18"/>
  <c r="N73" i="18" s="1"/>
  <c r="E27" i="18"/>
  <c r="E6" i="18"/>
  <c r="D6" i="18"/>
  <c r="D119" i="24"/>
  <c r="D27" i="18"/>
  <c r="H6" i="18"/>
  <c r="H27" i="18"/>
  <c r="H73" i="18" s="1"/>
  <c r="G7" i="18"/>
  <c r="G28" i="18"/>
  <c r="G74" i="18" s="1"/>
  <c r="D17" i="12"/>
  <c r="D18" i="12" s="1"/>
  <c r="E30" i="24"/>
  <c r="E31" i="24" s="1"/>
  <c r="F30" i="24"/>
  <c r="F31" i="24" s="1"/>
  <c r="L30" i="24"/>
  <c r="L31" i="24" s="1"/>
  <c r="K30" i="24"/>
  <c r="K31" i="24" s="1"/>
  <c r="G30" i="24"/>
  <c r="G31" i="24" s="1"/>
  <c r="J30" i="24"/>
  <c r="J31" i="24" s="1"/>
  <c r="I30" i="24"/>
  <c r="I31" i="24" s="1"/>
  <c r="D30" i="24"/>
  <c r="D31" i="24" s="1"/>
  <c r="H30" i="24"/>
  <c r="H31" i="24" s="1"/>
  <c r="G77" i="18"/>
  <c r="G119" i="24"/>
  <c r="Q15" i="25"/>
  <c r="Q16" i="25" s="1"/>
  <c r="Q17" i="25"/>
  <c r="Q14" i="25" s="1"/>
  <c r="L49" i="24"/>
  <c r="L31" i="18" s="1"/>
  <c r="I49" i="24"/>
  <c r="I31" i="18" s="1"/>
  <c r="H49" i="24"/>
  <c r="H31" i="18" s="1"/>
  <c r="J49" i="24"/>
  <c r="J31" i="18" s="1"/>
  <c r="K74" i="18"/>
  <c r="J74" i="18"/>
  <c r="K49" i="24"/>
  <c r="K31" i="18" s="1"/>
  <c r="F49" i="24"/>
  <c r="F31" i="18" s="1"/>
  <c r="E49" i="24"/>
  <c r="E31" i="18" s="1"/>
  <c r="O28" i="24"/>
  <c r="N28" i="24"/>
  <c r="D77" i="18"/>
  <c r="Q12" i="25"/>
  <c r="N49" i="24"/>
  <c r="N31" i="18" s="1"/>
  <c r="D7" i="12"/>
  <c r="D8" i="12" s="1"/>
  <c r="P32" i="18" l="1"/>
  <c r="Q18" i="25"/>
  <c r="Q19" i="25" s="1"/>
  <c r="E7" i="18"/>
  <c r="E8" i="18" s="1"/>
  <c r="L7" i="18"/>
  <c r="L8" i="18" s="1"/>
  <c r="P6" i="18"/>
  <c r="F7" i="18"/>
  <c r="F8" i="18" s="1"/>
  <c r="E34" i="18"/>
  <c r="K34" i="18"/>
  <c r="J7" i="18"/>
  <c r="J8" i="18" s="1"/>
  <c r="N30" i="24"/>
  <c r="N31" i="24" s="1"/>
  <c r="N28" i="18"/>
  <c r="N34" i="18" s="1"/>
  <c r="N7" i="18"/>
  <c r="N8" i="18" s="1"/>
  <c r="H34" i="18"/>
  <c r="H80" i="18" s="1"/>
  <c r="K7" i="18"/>
  <c r="K8" i="18" s="1"/>
  <c r="I34" i="18"/>
  <c r="D34" i="18"/>
  <c r="D80" i="18" s="1"/>
  <c r="G8" i="18"/>
  <c r="J34" i="18"/>
  <c r="E73" i="18"/>
  <c r="I7" i="18"/>
  <c r="I8" i="18" s="1"/>
  <c r="G34" i="18"/>
  <c r="G80" i="18" s="1"/>
  <c r="L34" i="18"/>
  <c r="O30" i="24"/>
  <c r="O31" i="24" s="1"/>
  <c r="O28" i="18"/>
  <c r="O74" i="18" s="1"/>
  <c r="O73" i="18"/>
  <c r="D73" i="18"/>
  <c r="H7" i="18"/>
  <c r="H8" i="18" s="1"/>
  <c r="D8" i="18"/>
  <c r="F34" i="18"/>
  <c r="F80" i="18" s="1"/>
  <c r="H77" i="18"/>
  <c r="H119" i="24"/>
  <c r="E77" i="18"/>
  <c r="E119" i="24"/>
  <c r="N77" i="18"/>
  <c r="N119" i="24"/>
  <c r="K77" i="18"/>
  <c r="K119" i="24"/>
  <c r="I77" i="18"/>
  <c r="I119" i="24"/>
  <c r="L77" i="18"/>
  <c r="L119" i="24"/>
  <c r="F77" i="18"/>
  <c r="F119" i="24"/>
  <c r="J77" i="18"/>
  <c r="J119" i="24"/>
  <c r="M49" i="24"/>
  <c r="M31" i="18" s="1"/>
  <c r="O49" i="24"/>
  <c r="O31" i="18" s="1"/>
  <c r="M28" i="24"/>
  <c r="P27" i="24"/>
  <c r="D10" i="12" s="1"/>
  <c r="D11" i="12" s="1"/>
  <c r="O34" i="18" l="1"/>
  <c r="M30" i="24"/>
  <c r="M31" i="24" s="1"/>
  <c r="M28" i="18"/>
  <c r="M34" i="18" s="1"/>
  <c r="M7" i="18"/>
  <c r="O7" i="18"/>
  <c r="O8" i="18" s="1"/>
  <c r="I80" i="18"/>
  <c r="P30" i="24"/>
  <c r="P31" i="24" s="1"/>
  <c r="O77" i="18"/>
  <c r="O119" i="24"/>
  <c r="J80" i="18"/>
  <c r="K80" i="18"/>
  <c r="E80" i="18"/>
  <c r="M77" i="18"/>
  <c r="M119" i="24"/>
  <c r="L36" i="18"/>
  <c r="L82" i="18" s="1"/>
  <c r="N80" i="18"/>
  <c r="N74" i="18"/>
  <c r="D13" i="12"/>
  <c r="D14" i="12" s="1"/>
  <c r="D20" i="12" s="1"/>
  <c r="D26" i="12" s="1"/>
  <c r="M8" i="18" l="1"/>
  <c r="P7" i="18"/>
  <c r="P8" i="18" s="1"/>
  <c r="O80" i="18"/>
  <c r="L80" i="18"/>
  <c r="M80" i="18"/>
  <c r="M74" i="18"/>
  <c r="P33" i="18"/>
  <c r="P35" i="18" l="1"/>
  <c r="P28" i="18" l="1"/>
  <c r="L29" i="18"/>
  <c r="L30" i="18" s="1"/>
  <c r="J29" i="18"/>
  <c r="J30" i="18" s="1"/>
  <c r="H29" i="18"/>
  <c r="H30" i="18" s="1"/>
  <c r="F29" i="18"/>
  <c r="F30" i="18" s="1"/>
  <c r="D29" i="18"/>
  <c r="D30" i="18" s="1"/>
  <c r="O29" i="18"/>
  <c r="O30" i="18" s="1"/>
  <c r="M29" i="18"/>
  <c r="M30" i="18" s="1"/>
  <c r="K29" i="18"/>
  <c r="K30" i="18" s="1"/>
  <c r="I29" i="18"/>
  <c r="I30" i="18" s="1"/>
  <c r="G29" i="18"/>
  <c r="G30" i="18" s="1"/>
  <c r="O76" i="18" l="1"/>
  <c r="O75" i="18"/>
  <c r="D76" i="18"/>
  <c r="D75" i="18"/>
  <c r="H76" i="18"/>
  <c r="H75" i="18"/>
  <c r="G76" i="18"/>
  <c r="G75" i="18"/>
  <c r="I76" i="18"/>
  <c r="I75" i="18"/>
  <c r="K76" i="18"/>
  <c r="K75" i="18"/>
  <c r="F76" i="18"/>
  <c r="F75" i="18"/>
  <c r="J76" i="18"/>
  <c r="J75" i="18"/>
  <c r="L76" i="18"/>
  <c r="L75" i="18"/>
  <c r="M76" i="18"/>
  <c r="M75" i="18"/>
  <c r="N29" i="18"/>
  <c r="N30" i="18" s="1"/>
  <c r="P27" i="18"/>
  <c r="E29" i="18"/>
  <c r="E75" i="18" l="1"/>
  <c r="E30" i="18"/>
  <c r="E76" i="18" s="1"/>
  <c r="N76" i="18"/>
  <c r="N75" i="18"/>
  <c r="P29" i="18"/>
  <c r="P30" i="18" s="1"/>
  <c r="J36" i="18" l="1"/>
  <c r="J82" i="18" s="1"/>
  <c r="O36" i="18" l="1"/>
  <c r="O82" i="18" s="1"/>
  <c r="H36" i="18"/>
  <c r="H82" i="18" s="1"/>
  <c r="G36" i="18"/>
  <c r="G82" i="18" s="1"/>
  <c r="E36" i="18"/>
  <c r="E82" i="18" s="1"/>
  <c r="M36" i="18"/>
  <c r="M82" i="18" s="1"/>
  <c r="F36" i="18"/>
  <c r="F82" i="18" s="1"/>
  <c r="K36" i="18"/>
  <c r="K82" i="18" s="1"/>
  <c r="I36" i="18" l="1"/>
  <c r="I82" i="18" s="1"/>
  <c r="N36" i="18"/>
  <c r="N82" i="18" s="1"/>
  <c r="P34" i="18"/>
  <c r="P36" i="18" s="1"/>
  <c r="P31" i="18" l="1"/>
  <c r="D17" i="18" l="1"/>
  <c r="E16" i="18" s="1"/>
  <c r="D36" i="18"/>
  <c r="D82" i="18" s="1"/>
  <c r="E17" i="18" l="1"/>
  <c r="F16" i="18" l="1"/>
  <c r="F17" i="18" s="1"/>
  <c r="G16" i="18" s="1"/>
  <c r="G17" i="18" s="1"/>
  <c r="H16" i="18" s="1"/>
  <c r="H17" i="18" s="1"/>
  <c r="I16" i="18" s="1"/>
  <c r="I17" i="18" l="1"/>
  <c r="J16" i="18" s="1"/>
  <c r="J17" i="18" l="1"/>
  <c r="K16" i="18" s="1"/>
  <c r="K17" i="18" l="1"/>
  <c r="L16" i="18" s="1"/>
  <c r="L17" i="18" l="1"/>
  <c r="M16" i="18" s="1"/>
  <c r="M17" i="18" l="1"/>
  <c r="N16" i="18" s="1"/>
  <c r="N17" i="18" l="1"/>
  <c r="O16" i="18" s="1"/>
  <c r="O17" i="18" l="1"/>
  <c r="P16" i="18" l="1"/>
  <c r="P17" i="18" s="1"/>
</calcChain>
</file>

<file path=xl/sharedStrings.xml><?xml version="1.0" encoding="utf-8"?>
<sst xmlns="http://schemas.openxmlformats.org/spreadsheetml/2006/main" count="195" uniqueCount="154">
  <si>
    <t>Finansinntekter</t>
  </si>
  <si>
    <t>Finanskostnader</t>
  </si>
  <si>
    <t>Inntekter</t>
  </si>
  <si>
    <t>Sum inntekter</t>
  </si>
  <si>
    <t>Driftsresultat</t>
  </si>
  <si>
    <t>Lønn</t>
  </si>
  <si>
    <t>Feriepenger</t>
  </si>
  <si>
    <t>Pensjon</t>
  </si>
  <si>
    <t>Sum</t>
  </si>
  <si>
    <t>Andre driftskostnader</t>
  </si>
  <si>
    <t>Historisk utvikling</t>
  </si>
  <si>
    <t>Varekostnader</t>
  </si>
  <si>
    <t>Sum varekostnader</t>
  </si>
  <si>
    <t>Sum lønnskostnader</t>
  </si>
  <si>
    <t>Avskrivninger</t>
  </si>
  <si>
    <t>Sum andre driftskostnader</t>
  </si>
  <si>
    <t>Sum nto finans</t>
  </si>
  <si>
    <t>Resultat før skatt</t>
  </si>
  <si>
    <t>Kontantstrøm</t>
  </si>
  <si>
    <t>Januar</t>
  </si>
  <si>
    <t>Februar</t>
  </si>
  <si>
    <t>Mars</t>
  </si>
  <si>
    <t>April</t>
  </si>
  <si>
    <t>Mai</t>
  </si>
  <si>
    <t>Juni</t>
  </si>
  <si>
    <t>Juli</t>
  </si>
  <si>
    <t>August</t>
  </si>
  <si>
    <t>September</t>
  </si>
  <si>
    <t>Oktober</t>
  </si>
  <si>
    <t>November</t>
  </si>
  <si>
    <t>Desember</t>
  </si>
  <si>
    <t>Total</t>
  </si>
  <si>
    <t>Utgifter</t>
  </si>
  <si>
    <t>Kontantstrøm nto</t>
  </si>
  <si>
    <t>Kontantstrøm i perioden</t>
  </si>
  <si>
    <t>Kontantbeholdning IB</t>
  </si>
  <si>
    <t>Kontantbeholdning UB</t>
  </si>
  <si>
    <t>Driftsinntekter</t>
  </si>
  <si>
    <t>Varekost</t>
  </si>
  <si>
    <t>DBI</t>
  </si>
  <si>
    <t>DG%</t>
  </si>
  <si>
    <t>Personalkost</t>
  </si>
  <si>
    <t>Andre driftskost</t>
  </si>
  <si>
    <t>Netto finans</t>
  </si>
  <si>
    <t>Budsjett</t>
  </si>
  <si>
    <t>NOK i tusen</t>
  </si>
  <si>
    <t>Totalt</t>
  </si>
  <si>
    <t>Salg</t>
  </si>
  <si>
    <t>Sum Salg</t>
  </si>
  <si>
    <t>Varekjøp</t>
  </si>
  <si>
    <t>Sum Varekjøp</t>
  </si>
  <si>
    <t xml:space="preserve">     5000 - Lønn til ansatte</t>
  </si>
  <si>
    <t xml:space="preserve">     5010 - Sykelønn (arb.giv.per)</t>
  </si>
  <si>
    <t xml:space="preserve">     5040 - Provisjon</t>
  </si>
  <si>
    <t xml:space="preserve">     5180 - Feriepenger beregnet</t>
  </si>
  <si>
    <t xml:space="preserve">     5182 - Arb.avg. påløpne feriepenger</t>
  </si>
  <si>
    <t xml:space="preserve">     5210 - Elektronisk kommunikasjon</t>
  </si>
  <si>
    <t xml:space="preserve">     5290 - Motkonto elektronisk kommunikasjon</t>
  </si>
  <si>
    <t xml:space="preserve">     5400 - Arbeidsgiveravgift</t>
  </si>
  <si>
    <t xml:space="preserve">     5910 - Kantine</t>
  </si>
  <si>
    <t xml:space="preserve">     5920 - Yrkesskadeforsikring</t>
  </si>
  <si>
    <t xml:space="preserve">     5945 - Innskuddspensjon</t>
  </si>
  <si>
    <t xml:space="preserve">     5990 - Annen personalkostnad</t>
  </si>
  <si>
    <t>Sum Lønn</t>
  </si>
  <si>
    <t>Sum Driftskostnader</t>
  </si>
  <si>
    <t>Finans</t>
  </si>
  <si>
    <t xml:space="preserve">     8050 - Renteinntekt bank</t>
  </si>
  <si>
    <t xml:space="preserve">     8051 - Renteinntekter kunder</t>
  </si>
  <si>
    <t xml:space="preserve">     8060 - Valutagevinst (agio)</t>
  </si>
  <si>
    <t xml:space="preserve">     8115 - Rentekostnader leverandører</t>
  </si>
  <si>
    <t>Sum Finans</t>
  </si>
  <si>
    <t>Sum resultat</t>
  </si>
  <si>
    <t>Jan</t>
  </si>
  <si>
    <t>Feb</t>
  </si>
  <si>
    <t>Mar</t>
  </si>
  <si>
    <t>Apr</t>
  </si>
  <si>
    <t>Jun</t>
  </si>
  <si>
    <t>Jul</t>
  </si>
  <si>
    <t>Aug</t>
  </si>
  <si>
    <t>Sep</t>
  </si>
  <si>
    <t>Okt</t>
  </si>
  <si>
    <t>Nov</t>
  </si>
  <si>
    <t>Des</t>
  </si>
  <si>
    <t>Arb. giver avg</t>
  </si>
  <si>
    <t>Kunder</t>
  </si>
  <si>
    <t>Leverandører</t>
  </si>
  <si>
    <t>Stillingstr.%</t>
  </si>
  <si>
    <t>DB</t>
  </si>
  <si>
    <t>Innstillinger</t>
  </si>
  <si>
    <t>Firmanavn</t>
  </si>
  <si>
    <t>Start år</t>
  </si>
  <si>
    <t>Ansatt</t>
  </si>
  <si>
    <t>Arbeidsgiver avgift</t>
  </si>
  <si>
    <t>DIAGRAMTITEL</t>
  </si>
  <si>
    <t>Inngående balanse</t>
  </si>
  <si>
    <t>Sum lønn</t>
  </si>
  <si>
    <t>Arb. giver avg påløpt feriepenger</t>
  </si>
  <si>
    <t xml:space="preserve">     5950 - OTP</t>
  </si>
  <si>
    <t>Arb. giver avg pensjon</t>
  </si>
  <si>
    <t xml:space="preserve">     5400 - Arbeidsgiveravgift OTP</t>
  </si>
  <si>
    <t>Regnskap/prognose</t>
  </si>
  <si>
    <t>i NOK tusen</t>
  </si>
  <si>
    <t>Driftskostnader (6xxx serie)</t>
  </si>
  <si>
    <t>Driftskostnader (7xxx serie)</t>
  </si>
  <si>
    <t>Eksempelbedriften AS</t>
  </si>
  <si>
    <t>Ola Nordmann</t>
  </si>
  <si>
    <t>3000 - Inntekt 1</t>
  </si>
  <si>
    <t>3001 - Inntekt 2</t>
  </si>
  <si>
    <t>3005 - Inntekt 3</t>
  </si>
  <si>
    <t>3009 - Inntekt 4</t>
  </si>
  <si>
    <t>4000 - Varekjøp 1</t>
  </si>
  <si>
    <t>4001 - Varekjøp 2</t>
  </si>
  <si>
    <t>4005 - Varekjøp 3</t>
  </si>
  <si>
    <t>4009 - Varekjøp 4</t>
  </si>
  <si>
    <t>6000 - Avskrivninger</t>
  </si>
  <si>
    <t>6300 - Husleie</t>
  </si>
  <si>
    <t>6340 - Lys og varme</t>
  </si>
  <si>
    <t>6360 - Renhold</t>
  </si>
  <si>
    <t>6420 - Leie datasystemer</t>
  </si>
  <si>
    <t>6421 - Leie kopimaskiner</t>
  </si>
  <si>
    <t>6440 - Leasing</t>
  </si>
  <si>
    <t>6540 - Inventar</t>
  </si>
  <si>
    <t>6700 - Revisjon</t>
  </si>
  <si>
    <t>6721 - Juridiske bistand</t>
  </si>
  <si>
    <t xml:space="preserve">6705 - Regnskap </t>
  </si>
  <si>
    <t>6750 - EDB</t>
  </si>
  <si>
    <t>6800 - Kontorrekvista</t>
  </si>
  <si>
    <t>6903 - Mobil</t>
  </si>
  <si>
    <t>6920 - Fast linjer</t>
  </si>
  <si>
    <t>6940 - Porto</t>
  </si>
  <si>
    <t>7000 - Drivstoff</t>
  </si>
  <si>
    <t>7020 - Rep. og vedlikehold</t>
  </si>
  <si>
    <t>7140 - Reisekostnader</t>
  </si>
  <si>
    <t>7300 - Salgskostnader</t>
  </si>
  <si>
    <t>7320 - Reklame</t>
  </si>
  <si>
    <t>7360 - Representasjon ikke fradrag</t>
  </si>
  <si>
    <t>7350 - Representasjon fradrag</t>
  </si>
  <si>
    <t>7410 - Gaver ikke fradrag</t>
  </si>
  <si>
    <t>7420 - Gaver fradrag</t>
  </si>
  <si>
    <t>7500 - Forsikringer</t>
  </si>
  <si>
    <t>7770 - Bankgebyrer</t>
  </si>
  <si>
    <t>Peder Ås</t>
  </si>
  <si>
    <t>Info</t>
  </si>
  <si>
    <t>Kom I gang med arket</t>
  </si>
  <si>
    <t>Først bør du registrere firmanavn, åre og flere opplysninger på siden "Innstillinger". Her er det også mulighet til å slå på "Utfyllingsmodusen". Når du krysser av her, vil alle celler som du kan fylle ut tydelig merkes.</t>
  </si>
  <si>
    <t>Sammendrag historisk</t>
  </si>
  <si>
    <t>I første kolonne kan du legge inn ansattenavn. I den andre kolonne legger du inn stillingsprosenten (den brukes dog bare som informasjon - ikke til beregning). Deretter registrerer du lønn for alle månedene. Kostnader som AGA, feriepenger og pensjon beregnes automatisk</t>
  </si>
  <si>
    <t>På budsjettet legger du inn detaljene som inntekter, driftskostnader og finanskostnader. På driftskostnadene er det en dele foreslag til vanlige kontoer. Du kan gjerne endre disse etter eget behov eller legge til nye kontoer.</t>
  </si>
  <si>
    <t>Styrerapport</t>
  </si>
  <si>
    <t>De fleste verdiene hentes automatisk. Det er kun informasjon om aksjonærinnskud som må legges inn manuellt. På bunnen av arket finner du også en grafisk fremmstilling av resultatene. I tillegg kan du velge (ved hjelp av sjekkboksene) hvilke nøkkeltal du ønsker å vise i diagrammet.</t>
  </si>
  <si>
    <t>Ansvarsfraskrivelse</t>
  </si>
  <si>
    <t>Dette verktøyet ble satt etter best kunnskap og evne. Dog leveres arket "som den er" og uten garantier. Det kan ikke utelukkes at verktøyet inneholder tekniske, matematiske, logiske eller andre type feil. Du bruker derfor arket på eget ansvar.</t>
  </si>
  <si>
    <t>Videreutvikling av verktøyet</t>
  </si>
  <si>
    <t xml:space="preserve">
Du er også velkommen til å foreta endringer i verktøyet selv. Arkene er låst, men har ikke passord. Du får dermed bare klikke på "Se gjennom" &gt; "Beskytt" &gt; "Opphev arkbeskyttelse". Det er ikke anbefalt å fjerne beskyttelse så lenge du ikke ønsker å endre arkstrukturen. Du kan legge inn verdier selv om arket er beskyttet. Beskyttelsen hinder at relevante deler av arket blir ødelagt.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</si>
</sst>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quot;kr&quot;\ * #,##0.00_ ;_ &quot;kr&quot;\ * \-#,##0.00_ ;_ &quot;kr&quot;\ * &quot;-&quot;??_ ;_ @_ "/>
    <numFmt numFmtId="43" formatCode="_ * #,##0.00_ ;_ * \-#,##0.00_ ;_ * &quot;-&quot;??_ ;_ @_ "/>
    <numFmt numFmtId="164" formatCode="_-* #,##0.00_-;\-* #,##0.00_-;_-* &quot;-&quot;??_-;_-@_-"/>
    <numFmt numFmtId="165" formatCode="_ * #,##0_ ;_ * \-#,##0_ ;_ * &quot;-&quot;??_ ;_ @_ "/>
    <numFmt numFmtId="166" formatCode="_ * #,##0.0_ ;_ * \-#,##0.0_ ;_ * &quot;-&quot;??_ ;_ @_ "/>
    <numFmt numFmtId="167" formatCode="_(* #,##0_);_(* \(#,##0\);_(* &quot;-&quot;_);@_)"/>
    <numFmt numFmtId="168" formatCode="0.0\ %"/>
    <numFmt numFmtId="169" formatCode="0;0;;@"/>
  </numFmts>
  <fonts count="22" x14ac:knownFonts="1">
    <font>
      <sz val="11"/>
      <color theme="1"/>
      <name val="Arial"/>
      <family val="2"/>
    </font>
    <font>
      <b/>
      <sz val="11"/>
      <color theme="1"/>
      <name val="Calibri"/>
      <family val="2"/>
      <scheme val="minor"/>
    </font>
    <font>
      <sz val="11"/>
      <color theme="1"/>
      <name val="Calibri"/>
      <family val="2"/>
      <scheme val="minor"/>
    </font>
    <font>
      <b/>
      <sz val="14"/>
      <color theme="3"/>
      <name val="Calibri"/>
      <family val="2"/>
      <scheme val="minor"/>
    </font>
    <font>
      <b/>
      <sz val="9"/>
      <color theme="3"/>
      <name val="Calibri"/>
      <family val="2"/>
      <scheme val="minor"/>
    </font>
    <font>
      <b/>
      <sz val="11"/>
      <color theme="3"/>
      <name val="Arial"/>
      <family val="2"/>
    </font>
    <font>
      <sz val="9"/>
      <color theme="1"/>
      <name val="Arial"/>
      <family val="2"/>
    </font>
    <font>
      <b/>
      <sz val="10"/>
      <color theme="1"/>
      <name val="Arial"/>
      <family val="2"/>
    </font>
    <font>
      <b/>
      <sz val="9"/>
      <color theme="1"/>
      <name val="Arial"/>
      <family val="2"/>
    </font>
    <font>
      <b/>
      <sz val="11"/>
      <color theme="1"/>
      <name val="Arial"/>
      <family val="2"/>
    </font>
    <font>
      <sz val="11"/>
      <color theme="1"/>
      <name val="Arial"/>
      <family val="2"/>
    </font>
    <font>
      <sz val="11"/>
      <color rgb="FFFF0000"/>
      <name val="Arial"/>
      <family val="2"/>
    </font>
    <font>
      <b/>
      <sz val="11"/>
      <color theme="0"/>
      <name val="Arial"/>
      <family val="2"/>
    </font>
    <font>
      <b/>
      <sz val="14"/>
      <color theme="0"/>
      <name val="Arial"/>
      <family val="2"/>
    </font>
    <font>
      <b/>
      <sz val="22"/>
      <color theme="0"/>
      <name val="Arial"/>
      <family val="2"/>
    </font>
    <font>
      <sz val="11"/>
      <color theme="0"/>
      <name val="Arial"/>
      <family val="2"/>
    </font>
    <font>
      <b/>
      <sz val="11"/>
      <color rgb="FF5A7A98"/>
      <name val="Arial"/>
      <family val="2"/>
    </font>
    <font>
      <sz val="11"/>
      <name val="Arial"/>
      <family val="2"/>
    </font>
    <font>
      <b/>
      <sz val="11"/>
      <name val="Arial"/>
      <family val="2"/>
    </font>
    <font>
      <sz val="8"/>
      <color rgb="FF000000"/>
      <name val="Segoe UI"/>
      <family val="2"/>
    </font>
    <font>
      <b/>
      <sz val="11"/>
      <color rgb="FFFF0000"/>
      <name val="Arial"/>
      <family val="2"/>
    </font>
    <font>
      <sz val="8"/>
      <name val="Arial"/>
      <family val="2"/>
    </font>
  </fonts>
  <fills count="8">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9D2B2E"/>
        <bgColor indexed="64"/>
      </patternFill>
    </fill>
    <fill>
      <patternFill patternType="solid">
        <fgColor rgb="FFD3F4FF"/>
        <bgColor indexed="64"/>
      </patternFill>
    </fill>
    <fill>
      <patternFill patternType="solid">
        <fgColor rgb="FF00B9FF"/>
        <bgColor indexed="64"/>
      </patternFill>
    </fill>
    <fill>
      <patternFill patternType="solid">
        <fgColor rgb="FF5A7A98"/>
        <bgColor indexed="64"/>
      </patternFill>
    </fill>
  </fills>
  <borders count="11">
    <border>
      <left/>
      <right/>
      <top/>
      <bottom/>
      <diagonal/>
    </border>
    <border>
      <left/>
      <right/>
      <top/>
      <bottom style="medium">
        <color theme="4"/>
      </bottom>
      <diagonal/>
    </border>
    <border>
      <left/>
      <right style="thin">
        <color theme="0"/>
      </right>
      <top style="thin">
        <color theme="0"/>
      </top>
      <bottom/>
      <diagonal/>
    </border>
    <border>
      <left style="thin">
        <color theme="0"/>
      </left>
      <right style="thin">
        <color theme="0"/>
      </right>
      <top/>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indexed="64"/>
      </left>
      <right style="thin">
        <color indexed="64"/>
      </right>
      <top style="thin">
        <color indexed="64"/>
      </top>
      <bottom style="thin">
        <color indexed="64"/>
      </bottom>
      <diagonal/>
    </border>
    <border>
      <left style="thin">
        <color rgb="FF5A7A98"/>
      </left>
      <right style="thin">
        <color rgb="FF5A7A98"/>
      </right>
      <top style="thin">
        <color rgb="FF5A7A98"/>
      </top>
      <bottom style="thin">
        <color rgb="FF5A7A98"/>
      </bottom>
      <diagonal/>
    </border>
    <border>
      <left style="thin">
        <color rgb="FF00B9FF"/>
      </left>
      <right style="thin">
        <color rgb="FF00B9FF"/>
      </right>
      <top style="thin">
        <color rgb="FF00B9FF"/>
      </top>
      <bottom style="thin">
        <color rgb="FF00B9FF"/>
      </bottom>
      <diagonal/>
    </border>
    <border>
      <left style="thin">
        <color rgb="FFD3F4FF"/>
      </left>
      <right style="thin">
        <color rgb="FFD3F4FF"/>
      </right>
      <top style="thin">
        <color rgb="FFD3F4FF"/>
      </top>
      <bottom style="thin">
        <color rgb="FFD3F4FF"/>
      </bottom>
      <diagonal/>
    </border>
    <border>
      <left style="thin">
        <color rgb="FFD3F4FF"/>
      </left>
      <right style="thin">
        <color rgb="FFD3F4FF"/>
      </right>
      <top/>
      <bottom style="thin">
        <color rgb="FFD3F4FF"/>
      </bottom>
      <diagonal/>
    </border>
  </borders>
  <cellStyleXfs count="20">
    <xf numFmtId="0" fontId="0" fillId="0" borderId="0"/>
    <xf numFmtId="43" fontId="2" fillId="0" borderId="0" applyFont="0" applyFill="0" applyBorder="0" applyAlignment="0" applyProtection="0"/>
    <xf numFmtId="9" fontId="2" fillId="0" borderId="0" applyFont="0" applyFill="0" applyBorder="0" applyAlignment="0" applyProtection="0"/>
    <xf numFmtId="0" fontId="4" fillId="0" borderId="1" applyFill="0" applyProtection="0">
      <alignment horizontal="right" wrapText="1"/>
    </xf>
    <xf numFmtId="44" fontId="2" fillId="0" borderId="0" applyFont="0" applyFill="0" applyBorder="0" applyAlignment="0" applyProtection="0"/>
    <xf numFmtId="43" fontId="2" fillId="0" borderId="0" applyFont="0" applyFill="0" applyBorder="0" applyAlignment="0" applyProtection="0"/>
    <xf numFmtId="0" fontId="14" fillId="4" borderId="0">
      <alignment vertical="center"/>
    </xf>
    <xf numFmtId="0" fontId="13" fillId="4" borderId="0"/>
    <xf numFmtId="165" fontId="9" fillId="0" borderId="0"/>
    <xf numFmtId="165" fontId="10" fillId="0" borderId="0">
      <protection locked="0"/>
    </xf>
    <xf numFmtId="165" fontId="9" fillId="6" borderId="8" applyFont="0" applyAlignment="0">
      <alignment horizontal="left"/>
    </xf>
    <xf numFmtId="165" fontId="10" fillId="5" borderId="9" applyFont="0" applyAlignment="0">
      <alignment horizontal="left"/>
    </xf>
    <xf numFmtId="0" fontId="10" fillId="0" borderId="6">
      <alignment horizontal="right"/>
      <protection locked="0"/>
    </xf>
    <xf numFmtId="0" fontId="15" fillId="7" borderId="7" applyFont="0" applyAlignment="0"/>
    <xf numFmtId="0" fontId="16" fillId="0" borderId="0">
      <alignment vertical="top"/>
    </xf>
    <xf numFmtId="165" fontId="10" fillId="0" borderId="0">
      <protection locked="0"/>
    </xf>
    <xf numFmtId="9" fontId="10" fillId="0" borderId="0">
      <protection locked="0"/>
    </xf>
    <xf numFmtId="0" fontId="16" fillId="0" borderId="0">
      <alignment vertical="top"/>
    </xf>
    <xf numFmtId="0" fontId="10" fillId="0" borderId="0"/>
    <xf numFmtId="165" fontId="10" fillId="2" borderId="0"/>
  </cellStyleXfs>
  <cellXfs count="103">
    <xf numFmtId="0" fontId="0" fillId="0" borderId="0" xfId="0"/>
    <xf numFmtId="0" fontId="1" fillId="0" borderId="0" xfId="0" applyFont="1"/>
    <xf numFmtId="0" fontId="0" fillId="0" borderId="0" xfId="0" applyFont="1"/>
    <xf numFmtId="165" fontId="0" fillId="0" borderId="0" xfId="1" applyNumberFormat="1" applyFont="1"/>
    <xf numFmtId="165" fontId="1" fillId="0" borderId="0" xfId="1" applyNumberFormat="1" applyFont="1"/>
    <xf numFmtId="0" fontId="3" fillId="0" borderId="0" xfId="0" applyFont="1"/>
    <xf numFmtId="165" fontId="8" fillId="2" borderId="0" xfId="1" applyNumberFormat="1" applyFont="1" applyFill="1" applyBorder="1"/>
    <xf numFmtId="166" fontId="6" fillId="2" borderId="0" xfId="5" applyNumberFormat="1" applyFont="1" applyFill="1"/>
    <xf numFmtId="0" fontId="5" fillId="0" borderId="0" xfId="3" applyFont="1" applyFill="1" applyBorder="1" applyAlignment="1">
      <alignment horizontal="left" wrapText="1"/>
    </xf>
    <xf numFmtId="167" fontId="7" fillId="0" borderId="0" xfId="0" applyNumberFormat="1" applyFont="1" applyBorder="1"/>
    <xf numFmtId="167" fontId="7" fillId="0" borderId="0" xfId="0" applyNumberFormat="1" applyFont="1"/>
    <xf numFmtId="0" fontId="0" fillId="0" borderId="0" xfId="0" applyBorder="1"/>
    <xf numFmtId="0" fontId="10" fillId="0" borderId="0" xfId="0" applyFont="1"/>
    <xf numFmtId="0" fontId="10" fillId="0" borderId="0" xfId="0" applyFont="1" applyAlignment="1">
      <alignment horizontal="left"/>
    </xf>
    <xf numFmtId="0" fontId="10" fillId="2" borderId="0" xfId="0" applyFont="1" applyFill="1"/>
    <xf numFmtId="0" fontId="11" fillId="0" borderId="0" xfId="0" applyFont="1"/>
    <xf numFmtId="165" fontId="10" fillId="2" borderId="0" xfId="1" applyNumberFormat="1" applyFont="1" applyFill="1"/>
    <xf numFmtId="0" fontId="14" fillId="4" borderId="0" xfId="6">
      <alignment vertical="center"/>
    </xf>
    <xf numFmtId="0" fontId="13" fillId="4" borderId="0" xfId="7"/>
    <xf numFmtId="0" fontId="9" fillId="0" borderId="0" xfId="0" applyFont="1"/>
    <xf numFmtId="165" fontId="9" fillId="0" borderId="0" xfId="0" applyNumberFormat="1" applyFont="1" applyBorder="1"/>
    <xf numFmtId="0" fontId="10" fillId="5" borderId="0" xfId="0" applyFont="1" applyFill="1" applyBorder="1" applyAlignment="1">
      <alignment horizontal="left"/>
    </xf>
    <xf numFmtId="165" fontId="9" fillId="5" borderId="0" xfId="1" applyNumberFormat="1" applyFont="1" applyFill="1" applyBorder="1" applyAlignment="1">
      <alignment horizontal="right"/>
    </xf>
    <xf numFmtId="0" fontId="10" fillId="0" borderId="0" xfId="0" applyFont="1" applyBorder="1" applyAlignment="1">
      <alignment horizontal="left"/>
    </xf>
    <xf numFmtId="165" fontId="10" fillId="0" borderId="0" xfId="1" applyNumberFormat="1" applyFont="1" applyBorder="1" applyAlignment="1">
      <alignment horizontal="center"/>
    </xf>
    <xf numFmtId="165" fontId="9" fillId="0" borderId="0" xfId="8" applyBorder="1"/>
    <xf numFmtId="165" fontId="9" fillId="6" borderId="0" xfId="1" applyNumberFormat="1" applyFont="1" applyFill="1" applyBorder="1" applyAlignment="1">
      <alignment horizontal="right"/>
    </xf>
    <xf numFmtId="0" fontId="9" fillId="6" borderId="0" xfId="0" applyFont="1" applyFill="1" applyBorder="1" applyAlignment="1">
      <alignment horizontal="left"/>
    </xf>
    <xf numFmtId="0" fontId="10" fillId="0" borderId="6" xfId="12">
      <alignment horizontal="right"/>
      <protection locked="0"/>
    </xf>
    <xf numFmtId="0" fontId="0" fillId="7" borderId="7" xfId="13" applyFont="1"/>
    <xf numFmtId="0" fontId="15" fillId="7" borderId="7" xfId="13" applyFont="1"/>
    <xf numFmtId="0" fontId="12" fillId="7" borderId="7" xfId="13" applyFont="1" applyAlignment="1">
      <alignment horizontal="right"/>
    </xf>
    <xf numFmtId="165" fontId="10" fillId="5" borderId="9" xfId="11" applyFont="1" applyAlignment="1"/>
    <xf numFmtId="165" fontId="10" fillId="6" borderId="8" xfId="10" applyFont="1" applyAlignment="1"/>
    <xf numFmtId="0" fontId="15" fillId="7" borderId="7" xfId="13" applyFont="1" applyAlignment="1">
      <alignment horizontal="center"/>
    </xf>
    <xf numFmtId="0" fontId="16" fillId="0" borderId="0" xfId="0" applyFont="1" applyAlignment="1">
      <alignment vertical="top"/>
    </xf>
    <xf numFmtId="0" fontId="16" fillId="0" borderId="0" xfId="14">
      <alignment vertical="top"/>
    </xf>
    <xf numFmtId="165" fontId="0" fillId="5" borderId="9" xfId="11" applyFont="1" applyAlignment="1"/>
    <xf numFmtId="165" fontId="0" fillId="6" borderId="8" xfId="10" applyFont="1" applyAlignment="1"/>
    <xf numFmtId="165" fontId="1" fillId="6" borderId="8" xfId="10" applyFont="1" applyAlignment="1"/>
    <xf numFmtId="165" fontId="9" fillId="6" borderId="8" xfId="10" applyFont="1" applyAlignment="1"/>
    <xf numFmtId="0" fontId="14" fillId="4" borderId="0" xfId="6" applyFont="1">
      <alignment vertical="center"/>
    </xf>
    <xf numFmtId="0" fontId="13" fillId="4" borderId="0" xfId="7" applyFont="1"/>
    <xf numFmtId="165" fontId="10" fillId="0" borderId="0" xfId="1" applyNumberFormat="1" applyFont="1"/>
    <xf numFmtId="165" fontId="10" fillId="0" borderId="0" xfId="1" applyNumberFormat="1" applyFont="1" applyFill="1" applyBorder="1" applyAlignment="1">
      <alignment horizontal="center"/>
    </xf>
    <xf numFmtId="0" fontId="10" fillId="0" borderId="0" xfId="0" applyFont="1" applyBorder="1"/>
    <xf numFmtId="165" fontId="9" fillId="5" borderId="9" xfId="11" applyFont="1" applyAlignment="1"/>
    <xf numFmtId="0" fontId="16" fillId="0" borderId="0" xfId="14" applyFont="1">
      <alignment vertical="top"/>
    </xf>
    <xf numFmtId="0" fontId="9" fillId="0" borderId="0" xfId="0" applyFont="1" applyBorder="1"/>
    <xf numFmtId="165" fontId="9" fillId="0" borderId="0" xfId="1" applyNumberFormat="1" applyFont="1" applyBorder="1"/>
    <xf numFmtId="165" fontId="10" fillId="0" borderId="0" xfId="2" applyNumberFormat="1" applyFont="1"/>
    <xf numFmtId="9" fontId="10" fillId="0" borderId="0" xfId="2" applyFont="1"/>
    <xf numFmtId="43" fontId="9" fillId="0" borderId="0" xfId="0" applyNumberFormat="1" applyFont="1"/>
    <xf numFmtId="0" fontId="12" fillId="7" borderId="7" xfId="13" applyFont="1" applyAlignment="1">
      <alignment horizontal="center"/>
    </xf>
    <xf numFmtId="165" fontId="9" fillId="0" borderId="0" xfId="1" applyNumberFormat="1" applyFont="1"/>
    <xf numFmtId="165" fontId="10" fillId="0" borderId="0" xfId="0" applyNumberFormat="1" applyFont="1"/>
    <xf numFmtId="168" fontId="10" fillId="0" borderId="6" xfId="2" applyNumberFormat="1" applyFont="1" applyBorder="1" applyAlignment="1" applyProtection="1">
      <alignment horizontal="right"/>
      <protection locked="0"/>
    </xf>
    <xf numFmtId="3" fontId="0" fillId="0" borderId="0" xfId="0" applyNumberFormat="1"/>
    <xf numFmtId="0" fontId="12" fillId="7" borderId="7" xfId="13" applyFont="1" applyAlignment="1">
      <alignment horizontal="left" wrapText="1"/>
    </xf>
    <xf numFmtId="0" fontId="12" fillId="7" borderId="7" xfId="13" applyFont="1" applyAlignment="1">
      <alignment horizontal="right" wrapText="1"/>
    </xf>
    <xf numFmtId="165" fontId="10" fillId="2" borderId="0" xfId="1" applyNumberFormat="1" applyFont="1" applyFill="1" applyBorder="1"/>
    <xf numFmtId="165" fontId="9" fillId="5" borderId="10" xfId="11" applyFont="1" applyBorder="1" applyAlignment="1"/>
    <xf numFmtId="165" fontId="9" fillId="2" borderId="0" xfId="1" applyNumberFormat="1" applyFont="1" applyFill="1"/>
    <xf numFmtId="165" fontId="9" fillId="2" borderId="0" xfId="1" applyNumberFormat="1" applyFont="1" applyFill="1" applyBorder="1"/>
    <xf numFmtId="167" fontId="9" fillId="0" borderId="0" xfId="0" applyNumberFormat="1" applyFont="1" applyFill="1"/>
    <xf numFmtId="167" fontId="10" fillId="0" borderId="0" xfId="0" applyNumberFormat="1" applyFont="1"/>
    <xf numFmtId="166" fontId="10" fillId="2" borderId="0" xfId="5" applyNumberFormat="1" applyFont="1" applyFill="1"/>
    <xf numFmtId="167" fontId="10" fillId="2" borderId="0" xfId="0" applyNumberFormat="1" applyFont="1" applyFill="1"/>
    <xf numFmtId="166" fontId="10" fillId="3" borderId="2" xfId="5" applyNumberFormat="1" applyFont="1" applyFill="1" applyBorder="1"/>
    <xf numFmtId="166" fontId="10" fillId="3" borderId="4" xfId="5" applyNumberFormat="1" applyFont="1" applyFill="1" applyBorder="1"/>
    <xf numFmtId="166" fontId="10" fillId="3" borderId="5" xfId="5" applyNumberFormat="1" applyFont="1" applyFill="1" applyBorder="1"/>
    <xf numFmtId="166" fontId="10" fillId="3" borderId="0" xfId="5" applyNumberFormat="1" applyFont="1" applyFill="1" applyBorder="1"/>
    <xf numFmtId="164" fontId="10" fillId="0" borderId="0" xfId="0" applyNumberFormat="1" applyFont="1"/>
    <xf numFmtId="0" fontId="17" fillId="0" borderId="0" xfId="0" applyFont="1" applyBorder="1"/>
    <xf numFmtId="3" fontId="17" fillId="0" borderId="0" xfId="0" applyNumberFormat="1" applyFont="1" applyBorder="1"/>
    <xf numFmtId="166" fontId="18" fillId="5" borderId="9" xfId="11" applyNumberFormat="1" applyFont="1" applyAlignment="1">
      <alignment horizontal="left"/>
    </xf>
    <xf numFmtId="165" fontId="18" fillId="5" borderId="9" xfId="11" applyFont="1" applyAlignment="1"/>
    <xf numFmtId="9" fontId="18" fillId="5" borderId="9" xfId="2" applyFont="1" applyFill="1" applyBorder="1" applyAlignment="1"/>
    <xf numFmtId="165" fontId="17" fillId="5" borderId="9" xfId="11" applyFont="1" applyAlignment="1"/>
    <xf numFmtId="165" fontId="18" fillId="6" borderId="8" xfId="10" applyFont="1" applyAlignment="1"/>
    <xf numFmtId="165" fontId="10" fillId="0" borderId="0" xfId="15">
      <protection locked="0"/>
    </xf>
    <xf numFmtId="9" fontId="10" fillId="0" borderId="0" xfId="16">
      <protection locked="0"/>
    </xf>
    <xf numFmtId="0" fontId="12" fillId="7" borderId="7" xfId="13" applyFont="1"/>
    <xf numFmtId="165" fontId="10" fillId="2" borderId="0" xfId="19"/>
    <xf numFmtId="165" fontId="10" fillId="0" borderId="3" xfId="1" applyNumberFormat="1" applyFont="1" applyFill="1" applyBorder="1"/>
    <xf numFmtId="0" fontId="0" fillId="0" borderId="0" xfId="0" applyProtection="1">
      <protection locked="0"/>
    </xf>
    <xf numFmtId="169" fontId="10" fillId="0" borderId="0" xfId="0" applyNumberFormat="1" applyFont="1"/>
    <xf numFmtId="169" fontId="13" fillId="4" borderId="0" xfId="7" applyNumberFormat="1"/>
    <xf numFmtId="169" fontId="13" fillId="4" borderId="0" xfId="7" applyNumberFormat="1" applyFont="1"/>
    <xf numFmtId="0" fontId="0" fillId="0" borderId="6" xfId="12" applyFont="1">
      <alignment horizontal="right"/>
      <protection locked="0"/>
    </xf>
    <xf numFmtId="165" fontId="0" fillId="0" borderId="0" xfId="15" applyFont="1">
      <protection locked="0"/>
    </xf>
    <xf numFmtId="165" fontId="10" fillId="0" borderId="0" xfId="15" applyProtection="1">
      <protection locked="0"/>
    </xf>
    <xf numFmtId="165" fontId="0" fillId="0" borderId="0" xfId="15" applyFont="1" applyProtection="1">
      <protection locked="0"/>
    </xf>
    <xf numFmtId="165" fontId="0" fillId="0" borderId="0" xfId="15" quotePrefix="1" applyFont="1">
      <protection locked="0"/>
    </xf>
    <xf numFmtId="0" fontId="20" fillId="0" borderId="0" xfId="0" applyFont="1"/>
    <xf numFmtId="0" fontId="14" fillId="4" borderId="0" xfId="6" applyAlignment="1">
      <alignment vertical="top"/>
    </xf>
    <xf numFmtId="0" fontId="13" fillId="4" borderId="0" xfId="7" applyAlignment="1">
      <alignment vertical="top"/>
    </xf>
    <xf numFmtId="0" fontId="0" fillId="0" borderId="0" xfId="0" applyAlignment="1">
      <alignment vertical="top"/>
    </xf>
    <xf numFmtId="0" fontId="0" fillId="0" borderId="0" xfId="0" applyAlignment="1">
      <alignment vertical="top" wrapText="1"/>
    </xf>
    <xf numFmtId="0" fontId="16" fillId="0" borderId="0" xfId="17">
      <alignment vertical="top"/>
    </xf>
    <xf numFmtId="0" fontId="10" fillId="0" borderId="0" xfId="18" applyAlignment="1">
      <alignment vertical="top"/>
    </xf>
    <xf numFmtId="0" fontId="10" fillId="0" borderId="0" xfId="18"/>
    <xf numFmtId="0" fontId="10" fillId="0" borderId="0" xfId="18" applyAlignment="1">
      <alignment vertical="top" wrapText="1"/>
    </xf>
  </cellXfs>
  <cellStyles count="20">
    <cellStyle name="Comma 2" xfId="5" xr:uid="{00000000-0005-0000-0000-000000000000}"/>
    <cellStyle name="Currency 2" xfId="4" xr:uid="{00000000-0005-0000-0000-000001000000}"/>
    <cellStyle name="Delsum" xfId="11" xr:uid="{00000000-0005-0000-0000-000002000000}"/>
    <cellStyle name="InputBox" xfId="12" xr:uid="{00000000-0005-0000-0000-000003000000}"/>
    <cellStyle name="Komma" xfId="1" builtinId="3"/>
    <cellStyle name="Normal" xfId="0" builtinId="0" customBuiltin="1"/>
    <cellStyle name="Normal 5" xfId="18" xr:uid="{00000000-0005-0000-0000-000006000000}"/>
    <cellStyle name="NumberActual" xfId="8" xr:uid="{00000000-0005-0000-0000-000007000000}"/>
    <cellStyle name="NumberLocked" xfId="19" xr:uid="{00000000-0005-0000-0000-000008000000}"/>
    <cellStyle name="NumberOpen" xfId="15" xr:uid="{00000000-0005-0000-0000-000009000000}"/>
    <cellStyle name="NumberPast" xfId="9" xr:uid="{00000000-0005-0000-0000-00000A000000}"/>
    <cellStyle name="PercentOpen" xfId="16" xr:uid="{00000000-0005-0000-0000-00000B000000}"/>
    <cellStyle name="Prosent" xfId="2" builtinId="5"/>
    <cellStyle name="SectionName" xfId="14" xr:uid="{00000000-0005-0000-0000-00000D000000}"/>
    <cellStyle name="SectionName 2" xfId="17" xr:uid="{00000000-0005-0000-0000-00000E000000}"/>
    <cellStyle name="Smart Subtitle 1" xfId="3" xr:uid="{00000000-0005-0000-0000-00000F000000}"/>
    <cellStyle name="SumLinje" xfId="10" xr:uid="{00000000-0005-0000-0000-000010000000}"/>
    <cellStyle name="TableHeader" xfId="13" xr:uid="{00000000-0005-0000-0000-000011000000}"/>
    <cellStyle name="TitleBar" xfId="6" xr:uid="{00000000-0005-0000-0000-000012000000}"/>
    <cellStyle name="TitleBar2" xfId="7" xr:uid="{00000000-0005-0000-0000-000013000000}"/>
  </cellStyles>
  <dxfs count="5">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s>
  <tableStyles count="0" defaultTableStyle="TableStyleMedium2"/>
  <colors>
    <mruColors>
      <color rgb="FF9D2B2E"/>
      <color rgb="FF00B9FF"/>
      <color rgb="FF5A7A98"/>
      <color rgb="FFD3F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US"/>
              <a:t>Utvikling i kontantbeholdning per måned 2020</a:t>
            </a:r>
          </a:p>
        </c:rich>
      </c:tx>
      <c:layout>
        <c:manualLayout>
          <c:xMode val="edge"/>
          <c:yMode val="edge"/>
          <c:x val="0.25415568667965732"/>
          <c:y val="1.9945436107297022E-2"/>
        </c:manualLayout>
      </c:layout>
      <c:overlay val="0"/>
    </c:title>
    <c:autoTitleDeleted val="0"/>
    <c:plotArea>
      <c:layout>
        <c:manualLayout>
          <c:layoutTarget val="inner"/>
          <c:xMode val="edge"/>
          <c:yMode val="edge"/>
          <c:x val="6.1241340734047585E-2"/>
          <c:y val="0.16574122119103174"/>
          <c:w val="0.92673680134245517"/>
          <c:h val="0.69566526777232152"/>
        </c:manualLayout>
      </c:layout>
      <c:barChart>
        <c:barDir val="col"/>
        <c:grouping val="clustered"/>
        <c:varyColors val="0"/>
        <c:ser>
          <c:idx val="1"/>
          <c:order val="0"/>
          <c:spPr>
            <a:solidFill>
              <a:srgbClr val="9D2B2E"/>
            </a:solidFill>
          </c:spPr>
          <c:invertIfNegative val="0"/>
          <c:cat>
            <c:strRef>
              <c:f>Styrerapport!$D$5:$O$5</c:f>
              <c:strCache>
                <c:ptCount val="12"/>
                <c:pt idx="0">
                  <c:v>Januar</c:v>
                </c:pt>
                <c:pt idx="1">
                  <c:v>Februar</c:v>
                </c:pt>
                <c:pt idx="2">
                  <c:v>Mars</c:v>
                </c:pt>
                <c:pt idx="3">
                  <c:v>April</c:v>
                </c:pt>
                <c:pt idx="4">
                  <c:v>Mai</c:v>
                </c:pt>
                <c:pt idx="5">
                  <c:v>Juni</c:v>
                </c:pt>
                <c:pt idx="6">
                  <c:v>Juli</c:v>
                </c:pt>
                <c:pt idx="7">
                  <c:v>August</c:v>
                </c:pt>
                <c:pt idx="8">
                  <c:v>September</c:v>
                </c:pt>
                <c:pt idx="9">
                  <c:v>Oktober</c:v>
                </c:pt>
                <c:pt idx="10">
                  <c:v>November</c:v>
                </c:pt>
                <c:pt idx="11">
                  <c:v>Desember</c:v>
                </c:pt>
              </c:strCache>
            </c:strRef>
          </c:cat>
          <c:val>
            <c:numRef>
              <c:f>Styrerapport!$D$17:$O$17</c:f>
              <c:numCache>
                <c:formatCode>_ * #\ ##0_ ;_ * \-#\ ##0_ ;_ * "-"??_ ;_ @_ </c:formatCode>
                <c:ptCount val="12"/>
                <c:pt idx="0">
                  <c:v>1061.7329999999999</c:v>
                </c:pt>
                <c:pt idx="1">
                  <c:v>1156.4659999999999</c:v>
                </c:pt>
                <c:pt idx="2">
                  <c:v>1239.1989999999998</c:v>
                </c:pt>
                <c:pt idx="3">
                  <c:v>1320.9319999999998</c:v>
                </c:pt>
                <c:pt idx="4">
                  <c:v>1415.6649999999997</c:v>
                </c:pt>
                <c:pt idx="5">
                  <c:v>1508.3979999999997</c:v>
                </c:pt>
                <c:pt idx="6">
                  <c:v>1597.1309999999996</c:v>
                </c:pt>
                <c:pt idx="7">
                  <c:v>1691.8639999999996</c:v>
                </c:pt>
                <c:pt idx="8">
                  <c:v>1800.5969999999995</c:v>
                </c:pt>
                <c:pt idx="9">
                  <c:v>1877.3299999999995</c:v>
                </c:pt>
                <c:pt idx="10">
                  <c:v>1969.0629999999994</c:v>
                </c:pt>
                <c:pt idx="11">
                  <c:v>2060.7959999999994</c:v>
                </c:pt>
              </c:numCache>
            </c:numRef>
          </c:val>
          <c:extLst>
            <c:ext xmlns:c16="http://schemas.microsoft.com/office/drawing/2014/chart" uri="{C3380CC4-5D6E-409C-BE32-E72D297353CC}">
              <c16:uniqueId val="{00000000-5E65-4704-8B39-B0CDCD66024E}"/>
            </c:ext>
          </c:extLst>
        </c:ser>
        <c:dLbls>
          <c:showLegendKey val="0"/>
          <c:showVal val="0"/>
          <c:showCatName val="0"/>
          <c:showSerName val="0"/>
          <c:showPercent val="0"/>
          <c:showBubbleSize val="0"/>
        </c:dLbls>
        <c:gapWidth val="150"/>
        <c:axId val="370372560"/>
        <c:axId val="370367464"/>
      </c:barChart>
      <c:catAx>
        <c:axId val="370372560"/>
        <c:scaling>
          <c:orientation val="minMax"/>
        </c:scaling>
        <c:delete val="0"/>
        <c:axPos val="b"/>
        <c:numFmt formatCode="General" sourceLinked="1"/>
        <c:majorTickMark val="out"/>
        <c:minorTickMark val="none"/>
        <c:tickLblPos val="nextTo"/>
        <c:crossAx val="370367464"/>
        <c:crosses val="autoZero"/>
        <c:auto val="1"/>
        <c:lblAlgn val="ctr"/>
        <c:lblOffset val="100"/>
        <c:noMultiLvlLbl val="0"/>
      </c:catAx>
      <c:valAx>
        <c:axId val="370367464"/>
        <c:scaling>
          <c:orientation val="minMax"/>
        </c:scaling>
        <c:delete val="0"/>
        <c:axPos val="l"/>
        <c:majorGridlines/>
        <c:numFmt formatCode="_ * #\ ##0_ ;_ * \-#\ ##0_ ;_ * &quot;-&quot;??_ ;_ @_ " sourceLinked="1"/>
        <c:majorTickMark val="out"/>
        <c:minorTickMark val="none"/>
        <c:tickLblPos val="nextTo"/>
        <c:spPr>
          <a:ln>
            <a:noFill/>
          </a:ln>
        </c:spPr>
        <c:crossAx val="370372560"/>
        <c:crosses val="autoZero"/>
        <c:crossBetween val="between"/>
      </c:valAx>
    </c:plotArea>
    <c:plotVisOnly val="1"/>
    <c:dispBlanksAs val="gap"/>
    <c:showDLblsOverMax val="0"/>
  </c:chart>
  <c:spPr>
    <a:ln>
      <a:noFill/>
    </a:ln>
  </c:spPr>
  <c:txPr>
    <a:bodyPr/>
    <a:lstStyle/>
    <a:p>
      <a:pPr>
        <a:defRPr b="1">
          <a:latin typeface="Arial" panose="020B0604020202020204" pitchFamily="34" charset="0"/>
          <a:cs typeface="Arial" panose="020B0604020202020204" pitchFamily="34" charset="0"/>
        </a:defRPr>
      </a:pPr>
      <a:endParaRPr lang="nb-N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Styrerapport!$T$5</c:f>
          <c:strCache>
            <c:ptCount val="1"/>
            <c:pt idx="0">
              <c:v>Utvikling per måned 2020</c:v>
            </c:pt>
          </c:strCache>
        </c:strRef>
      </c:tx>
      <c:overlay val="0"/>
      <c:txPr>
        <a:bodyPr/>
        <a:lstStyle/>
        <a:p>
          <a:pPr>
            <a:defRPr/>
          </a:pPr>
          <a:endParaRPr lang="nb-NO"/>
        </a:p>
      </c:txPr>
    </c:title>
    <c:autoTitleDeleted val="0"/>
    <c:plotArea>
      <c:layout>
        <c:manualLayout>
          <c:layoutTarget val="inner"/>
          <c:xMode val="edge"/>
          <c:yMode val="edge"/>
          <c:x val="5.6621999999999999E-2"/>
          <c:y val="0.12339884259259259"/>
          <c:w val="0.67027744444444437"/>
          <c:h val="0.70908495370370372"/>
        </c:manualLayout>
      </c:layout>
      <c:lineChart>
        <c:grouping val="standard"/>
        <c:varyColors val="0"/>
        <c:ser>
          <c:idx val="0"/>
          <c:order val="0"/>
          <c:tx>
            <c:strRef>
              <c:f>Styrerapport!$C$73</c:f>
              <c:strCache>
                <c:ptCount val="1"/>
                <c:pt idx="0">
                  <c:v>Driftsinntekter</c:v>
                </c:pt>
              </c:strCache>
            </c:strRef>
          </c:tx>
          <c:spPr>
            <a:ln>
              <a:solidFill>
                <a:srgbClr val="9D2B2E"/>
              </a:solidFill>
            </a:ln>
          </c:spPr>
          <c:marker>
            <c:symbol val="none"/>
          </c:marker>
          <c:cat>
            <c:strRef>
              <c:f>Styrerapport!$D$26:$O$26</c:f>
              <c:strCache>
                <c:ptCount val="12"/>
                <c:pt idx="0">
                  <c:v>Januar</c:v>
                </c:pt>
                <c:pt idx="1">
                  <c:v>Februar</c:v>
                </c:pt>
                <c:pt idx="2">
                  <c:v>Mars</c:v>
                </c:pt>
                <c:pt idx="3">
                  <c:v>April</c:v>
                </c:pt>
                <c:pt idx="4">
                  <c:v>Mai</c:v>
                </c:pt>
                <c:pt idx="5">
                  <c:v>Juni</c:v>
                </c:pt>
                <c:pt idx="6">
                  <c:v>Juli</c:v>
                </c:pt>
                <c:pt idx="7">
                  <c:v>August</c:v>
                </c:pt>
                <c:pt idx="8">
                  <c:v>September</c:v>
                </c:pt>
                <c:pt idx="9">
                  <c:v>Oktober</c:v>
                </c:pt>
                <c:pt idx="10">
                  <c:v>November</c:v>
                </c:pt>
                <c:pt idx="11">
                  <c:v>Desember</c:v>
                </c:pt>
              </c:strCache>
            </c:strRef>
          </c:cat>
          <c:val>
            <c:numRef>
              <c:f>Styrerapport!$D$73:$O$73</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0-EABA-423C-8CB7-BCC3B1B33FDB}"/>
            </c:ext>
          </c:extLst>
        </c:ser>
        <c:ser>
          <c:idx val="1"/>
          <c:order val="1"/>
          <c:tx>
            <c:strRef>
              <c:f>Styrerapport!$C$28</c:f>
              <c:strCache>
                <c:ptCount val="1"/>
                <c:pt idx="0">
                  <c:v>Varekost</c:v>
                </c:pt>
              </c:strCache>
            </c:strRef>
          </c:tx>
          <c:spPr>
            <a:ln>
              <a:solidFill>
                <a:srgbClr val="00B9FF"/>
              </a:solidFill>
            </a:ln>
          </c:spPr>
          <c:marker>
            <c:symbol val="none"/>
          </c:marker>
          <c:cat>
            <c:strRef>
              <c:f>Styrerapport!$D$26:$O$26</c:f>
              <c:strCache>
                <c:ptCount val="12"/>
                <c:pt idx="0">
                  <c:v>Januar</c:v>
                </c:pt>
                <c:pt idx="1">
                  <c:v>Februar</c:v>
                </c:pt>
                <c:pt idx="2">
                  <c:v>Mars</c:v>
                </c:pt>
                <c:pt idx="3">
                  <c:v>April</c:v>
                </c:pt>
                <c:pt idx="4">
                  <c:v>Mai</c:v>
                </c:pt>
                <c:pt idx="5">
                  <c:v>Juni</c:v>
                </c:pt>
                <c:pt idx="6">
                  <c:v>Juli</c:v>
                </c:pt>
                <c:pt idx="7">
                  <c:v>August</c:v>
                </c:pt>
                <c:pt idx="8">
                  <c:v>September</c:v>
                </c:pt>
                <c:pt idx="9">
                  <c:v>Oktober</c:v>
                </c:pt>
                <c:pt idx="10">
                  <c:v>November</c:v>
                </c:pt>
                <c:pt idx="11">
                  <c:v>Desember</c:v>
                </c:pt>
              </c:strCache>
            </c:strRef>
          </c:cat>
          <c:val>
            <c:numRef>
              <c:f>Styrerapport!$D$74:$O$74</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1-EABA-423C-8CB7-BCC3B1B33FDB}"/>
            </c:ext>
          </c:extLst>
        </c:ser>
        <c:ser>
          <c:idx val="2"/>
          <c:order val="2"/>
          <c:tx>
            <c:strRef>
              <c:f>Styrerapport!$C$29</c:f>
              <c:strCache>
                <c:ptCount val="1"/>
                <c:pt idx="0">
                  <c:v> DBI </c:v>
                </c:pt>
              </c:strCache>
            </c:strRef>
          </c:tx>
          <c:spPr>
            <a:ln>
              <a:solidFill>
                <a:srgbClr val="D3F4FF"/>
              </a:solidFill>
            </a:ln>
          </c:spPr>
          <c:marker>
            <c:symbol val="none"/>
          </c:marker>
          <c:cat>
            <c:strRef>
              <c:f>Styrerapport!$D$26:$O$26</c:f>
              <c:strCache>
                <c:ptCount val="12"/>
                <c:pt idx="0">
                  <c:v>Januar</c:v>
                </c:pt>
                <c:pt idx="1">
                  <c:v>Februar</c:v>
                </c:pt>
                <c:pt idx="2">
                  <c:v>Mars</c:v>
                </c:pt>
                <c:pt idx="3">
                  <c:v>April</c:v>
                </c:pt>
                <c:pt idx="4">
                  <c:v>Mai</c:v>
                </c:pt>
                <c:pt idx="5">
                  <c:v>Juni</c:v>
                </c:pt>
                <c:pt idx="6">
                  <c:v>Juli</c:v>
                </c:pt>
                <c:pt idx="7">
                  <c:v>August</c:v>
                </c:pt>
                <c:pt idx="8">
                  <c:v>September</c:v>
                </c:pt>
                <c:pt idx="9">
                  <c:v>Oktober</c:v>
                </c:pt>
                <c:pt idx="10">
                  <c:v>November</c:v>
                </c:pt>
                <c:pt idx="11">
                  <c:v>Desember</c:v>
                </c:pt>
              </c:strCache>
            </c:strRef>
          </c:cat>
          <c:val>
            <c:numRef>
              <c:f>Styrerapport!$D$75:$O$75</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EABA-423C-8CB7-BCC3B1B33FDB}"/>
            </c:ext>
          </c:extLst>
        </c:ser>
        <c:ser>
          <c:idx val="4"/>
          <c:order val="4"/>
          <c:tx>
            <c:strRef>
              <c:f>Styrerapport!$C$31</c:f>
              <c:strCache>
                <c:ptCount val="1"/>
                <c:pt idx="0">
                  <c:v>Personalkost</c:v>
                </c:pt>
              </c:strCache>
            </c:strRef>
          </c:tx>
          <c:spPr>
            <a:ln>
              <a:solidFill>
                <a:srgbClr val="BFA5A3"/>
              </a:solidFill>
              <a:prstDash val="sysDash"/>
            </a:ln>
          </c:spPr>
          <c:marker>
            <c:symbol val="none"/>
          </c:marker>
          <c:cat>
            <c:strRef>
              <c:f>Styrerapport!$D$26:$O$26</c:f>
              <c:strCache>
                <c:ptCount val="12"/>
                <c:pt idx="0">
                  <c:v>Januar</c:v>
                </c:pt>
                <c:pt idx="1">
                  <c:v>Februar</c:v>
                </c:pt>
                <c:pt idx="2">
                  <c:v>Mars</c:v>
                </c:pt>
                <c:pt idx="3">
                  <c:v>April</c:v>
                </c:pt>
                <c:pt idx="4">
                  <c:v>Mai</c:v>
                </c:pt>
                <c:pt idx="5">
                  <c:v>Juni</c:v>
                </c:pt>
                <c:pt idx="6">
                  <c:v>Juli</c:v>
                </c:pt>
                <c:pt idx="7">
                  <c:v>August</c:v>
                </c:pt>
                <c:pt idx="8">
                  <c:v>September</c:v>
                </c:pt>
                <c:pt idx="9">
                  <c:v>Oktober</c:v>
                </c:pt>
                <c:pt idx="10">
                  <c:v>November</c:v>
                </c:pt>
                <c:pt idx="11">
                  <c:v>Desember</c:v>
                </c:pt>
              </c:strCache>
            </c:strRef>
          </c:cat>
          <c:val>
            <c:numRef>
              <c:f>Styrerapport!$D$77:$O$77</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4-EABA-423C-8CB7-BCC3B1B33FDB}"/>
            </c:ext>
          </c:extLst>
        </c:ser>
        <c:ser>
          <c:idx val="7"/>
          <c:order val="5"/>
          <c:tx>
            <c:strRef>
              <c:f>Styrerapport!$C$32</c:f>
              <c:strCache>
                <c:ptCount val="1"/>
                <c:pt idx="0">
                  <c:v>Andre driftskost</c:v>
                </c:pt>
              </c:strCache>
            </c:strRef>
          </c:tx>
          <c:spPr>
            <a:ln>
              <a:solidFill>
                <a:srgbClr val="89726F"/>
              </a:solidFill>
            </a:ln>
          </c:spPr>
          <c:marker>
            <c:symbol val="none"/>
          </c:marker>
          <c:cat>
            <c:strRef>
              <c:f>Styrerapport!$D$26:$O$26</c:f>
              <c:strCache>
                <c:ptCount val="12"/>
                <c:pt idx="0">
                  <c:v>Januar</c:v>
                </c:pt>
                <c:pt idx="1">
                  <c:v>Februar</c:v>
                </c:pt>
                <c:pt idx="2">
                  <c:v>Mars</c:v>
                </c:pt>
                <c:pt idx="3">
                  <c:v>April</c:v>
                </c:pt>
                <c:pt idx="4">
                  <c:v>Mai</c:v>
                </c:pt>
                <c:pt idx="5">
                  <c:v>Juni</c:v>
                </c:pt>
                <c:pt idx="6">
                  <c:v>Juli</c:v>
                </c:pt>
                <c:pt idx="7">
                  <c:v>August</c:v>
                </c:pt>
                <c:pt idx="8">
                  <c:v>September</c:v>
                </c:pt>
                <c:pt idx="9">
                  <c:v>Oktober</c:v>
                </c:pt>
                <c:pt idx="10">
                  <c:v>November</c:v>
                </c:pt>
                <c:pt idx="11">
                  <c:v>Desember</c:v>
                </c:pt>
              </c:strCache>
            </c:strRef>
          </c:cat>
          <c:val>
            <c:numRef>
              <c:f>Styrerapport!$D$78:$O$78</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5-EABA-423C-8CB7-BCC3B1B33FDB}"/>
            </c:ext>
          </c:extLst>
        </c:ser>
        <c:ser>
          <c:idx val="8"/>
          <c:order val="6"/>
          <c:tx>
            <c:strRef>
              <c:f>Styrerapport!$C$33</c:f>
              <c:strCache>
                <c:ptCount val="1"/>
                <c:pt idx="0">
                  <c:v>Avskrivninger</c:v>
                </c:pt>
              </c:strCache>
            </c:strRef>
          </c:tx>
          <c:spPr>
            <a:ln>
              <a:solidFill>
                <a:srgbClr val="3E5F00"/>
              </a:solidFill>
            </a:ln>
          </c:spPr>
          <c:marker>
            <c:symbol val="none"/>
          </c:marker>
          <c:cat>
            <c:strRef>
              <c:f>Styrerapport!$D$26:$O$26</c:f>
              <c:strCache>
                <c:ptCount val="12"/>
                <c:pt idx="0">
                  <c:v>Januar</c:v>
                </c:pt>
                <c:pt idx="1">
                  <c:v>Februar</c:v>
                </c:pt>
                <c:pt idx="2">
                  <c:v>Mars</c:v>
                </c:pt>
                <c:pt idx="3">
                  <c:v>April</c:v>
                </c:pt>
                <c:pt idx="4">
                  <c:v>Mai</c:v>
                </c:pt>
                <c:pt idx="5">
                  <c:v>Juni</c:v>
                </c:pt>
                <c:pt idx="6">
                  <c:v>Juli</c:v>
                </c:pt>
                <c:pt idx="7">
                  <c:v>August</c:v>
                </c:pt>
                <c:pt idx="8">
                  <c:v>September</c:v>
                </c:pt>
                <c:pt idx="9">
                  <c:v>Oktober</c:v>
                </c:pt>
                <c:pt idx="10">
                  <c:v>November</c:v>
                </c:pt>
                <c:pt idx="11">
                  <c:v>Desember</c:v>
                </c:pt>
              </c:strCache>
            </c:strRef>
          </c:cat>
          <c:val>
            <c:numRef>
              <c:f>Styrerapport!$D$79:$O$79</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6-EABA-423C-8CB7-BCC3B1B33FDB}"/>
            </c:ext>
          </c:extLst>
        </c:ser>
        <c:ser>
          <c:idx val="9"/>
          <c:order val="7"/>
          <c:tx>
            <c:strRef>
              <c:f>Styrerapport!$C$34</c:f>
              <c:strCache>
                <c:ptCount val="1"/>
                <c:pt idx="0">
                  <c:v> Driftsresultat </c:v>
                </c:pt>
              </c:strCache>
            </c:strRef>
          </c:tx>
          <c:spPr>
            <a:ln>
              <a:solidFill>
                <a:srgbClr val="72912E"/>
              </a:solidFill>
            </a:ln>
          </c:spPr>
          <c:marker>
            <c:symbol val="none"/>
          </c:marker>
          <c:cat>
            <c:strRef>
              <c:f>Styrerapport!$D$26:$O$26</c:f>
              <c:strCache>
                <c:ptCount val="12"/>
                <c:pt idx="0">
                  <c:v>Januar</c:v>
                </c:pt>
                <c:pt idx="1">
                  <c:v>Februar</c:v>
                </c:pt>
                <c:pt idx="2">
                  <c:v>Mars</c:v>
                </c:pt>
                <c:pt idx="3">
                  <c:v>April</c:v>
                </c:pt>
                <c:pt idx="4">
                  <c:v>Mai</c:v>
                </c:pt>
                <c:pt idx="5">
                  <c:v>Juni</c:v>
                </c:pt>
                <c:pt idx="6">
                  <c:v>Juli</c:v>
                </c:pt>
                <c:pt idx="7">
                  <c:v>August</c:v>
                </c:pt>
                <c:pt idx="8">
                  <c:v>September</c:v>
                </c:pt>
                <c:pt idx="9">
                  <c:v>Oktober</c:v>
                </c:pt>
                <c:pt idx="10">
                  <c:v>November</c:v>
                </c:pt>
                <c:pt idx="11">
                  <c:v>Desember</c:v>
                </c:pt>
              </c:strCache>
            </c:strRef>
          </c:cat>
          <c:val>
            <c:numRef>
              <c:f>Styrerapport!$D$80:$O$80</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7-EABA-423C-8CB7-BCC3B1B33FDB}"/>
            </c:ext>
          </c:extLst>
        </c:ser>
        <c:ser>
          <c:idx val="10"/>
          <c:order val="8"/>
          <c:tx>
            <c:strRef>
              <c:f>Styrerapport!$C$35</c:f>
              <c:strCache>
                <c:ptCount val="1"/>
                <c:pt idx="0">
                  <c:v>Netto finans</c:v>
                </c:pt>
              </c:strCache>
            </c:strRef>
          </c:tx>
          <c:spPr>
            <a:ln>
              <a:solidFill>
                <a:srgbClr val="005FAA"/>
              </a:solidFill>
            </a:ln>
          </c:spPr>
          <c:marker>
            <c:symbol val="none"/>
          </c:marker>
          <c:cat>
            <c:strRef>
              <c:f>Styrerapport!$D$26:$O$26</c:f>
              <c:strCache>
                <c:ptCount val="12"/>
                <c:pt idx="0">
                  <c:v>Januar</c:v>
                </c:pt>
                <c:pt idx="1">
                  <c:v>Februar</c:v>
                </c:pt>
                <c:pt idx="2">
                  <c:v>Mars</c:v>
                </c:pt>
                <c:pt idx="3">
                  <c:v>April</c:v>
                </c:pt>
                <c:pt idx="4">
                  <c:v>Mai</c:v>
                </c:pt>
                <c:pt idx="5">
                  <c:v>Juni</c:v>
                </c:pt>
                <c:pt idx="6">
                  <c:v>Juli</c:v>
                </c:pt>
                <c:pt idx="7">
                  <c:v>August</c:v>
                </c:pt>
                <c:pt idx="8">
                  <c:v>September</c:v>
                </c:pt>
                <c:pt idx="9">
                  <c:v>Oktober</c:v>
                </c:pt>
                <c:pt idx="10">
                  <c:v>November</c:v>
                </c:pt>
                <c:pt idx="11">
                  <c:v>Desember</c:v>
                </c:pt>
              </c:strCache>
            </c:strRef>
          </c:cat>
          <c:val>
            <c:numRef>
              <c:f>Styrerapport!$D$81:$O$81</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8-EABA-423C-8CB7-BCC3B1B33FDB}"/>
            </c:ext>
          </c:extLst>
        </c:ser>
        <c:ser>
          <c:idx val="5"/>
          <c:order val="9"/>
          <c:tx>
            <c:strRef>
              <c:f>Styrerapport!$C$82</c:f>
              <c:strCache>
                <c:ptCount val="1"/>
                <c:pt idx="0">
                  <c:v>Resultat før skatt</c:v>
                </c:pt>
              </c:strCache>
            </c:strRef>
          </c:tx>
          <c:spPr>
            <a:ln>
              <a:solidFill>
                <a:srgbClr val="00693B"/>
              </a:solidFill>
            </a:ln>
          </c:spPr>
          <c:marker>
            <c:symbol val="none"/>
          </c:marker>
          <c:val>
            <c:numRef>
              <c:f>Styrerapport!$D$82:$O$82</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0-76B4-4507-8E9A-24E77149BBE3}"/>
            </c:ext>
          </c:extLst>
        </c:ser>
        <c:dLbls>
          <c:showLegendKey val="0"/>
          <c:showVal val="0"/>
          <c:showCatName val="0"/>
          <c:showSerName val="0"/>
          <c:showPercent val="0"/>
          <c:showBubbleSize val="0"/>
        </c:dLbls>
        <c:marker val="1"/>
        <c:smooth val="0"/>
        <c:axId val="314156944"/>
        <c:axId val="373966344"/>
      </c:lineChart>
      <c:lineChart>
        <c:grouping val="standard"/>
        <c:varyColors val="0"/>
        <c:ser>
          <c:idx val="3"/>
          <c:order val="3"/>
          <c:tx>
            <c:strRef>
              <c:f>Styrerapport!$C$30</c:f>
              <c:strCache>
                <c:ptCount val="1"/>
                <c:pt idx="0">
                  <c:v> DG% </c:v>
                </c:pt>
              </c:strCache>
            </c:strRef>
          </c:tx>
          <c:spPr>
            <a:ln>
              <a:solidFill>
                <a:srgbClr val="5A7A98"/>
              </a:solidFill>
            </a:ln>
          </c:spPr>
          <c:marker>
            <c:symbol val="none"/>
          </c:marker>
          <c:cat>
            <c:strRef>
              <c:f>Styrerapport!$D$26:$O$26</c:f>
              <c:strCache>
                <c:ptCount val="12"/>
                <c:pt idx="0">
                  <c:v>Januar</c:v>
                </c:pt>
                <c:pt idx="1">
                  <c:v>Februar</c:v>
                </c:pt>
                <c:pt idx="2">
                  <c:v>Mars</c:v>
                </c:pt>
                <c:pt idx="3">
                  <c:v>April</c:v>
                </c:pt>
                <c:pt idx="4">
                  <c:v>Mai</c:v>
                </c:pt>
                <c:pt idx="5">
                  <c:v>Juni</c:v>
                </c:pt>
                <c:pt idx="6">
                  <c:v>Juli</c:v>
                </c:pt>
                <c:pt idx="7">
                  <c:v>August</c:v>
                </c:pt>
                <c:pt idx="8">
                  <c:v>September</c:v>
                </c:pt>
                <c:pt idx="9">
                  <c:v>Oktober</c:v>
                </c:pt>
                <c:pt idx="10">
                  <c:v>November</c:v>
                </c:pt>
                <c:pt idx="11">
                  <c:v>Desember</c:v>
                </c:pt>
              </c:strCache>
            </c:strRef>
          </c:cat>
          <c:val>
            <c:numRef>
              <c:f>Styrerapport!$D$76:$O$76</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EABA-423C-8CB7-BCC3B1B33FDB}"/>
            </c:ext>
          </c:extLst>
        </c:ser>
        <c:dLbls>
          <c:showLegendKey val="0"/>
          <c:showVal val="0"/>
          <c:showCatName val="0"/>
          <c:showSerName val="0"/>
          <c:showPercent val="0"/>
          <c:showBubbleSize val="0"/>
        </c:dLbls>
        <c:marker val="1"/>
        <c:smooth val="0"/>
        <c:axId val="373963992"/>
        <c:axId val="373962816"/>
      </c:lineChart>
      <c:catAx>
        <c:axId val="314156944"/>
        <c:scaling>
          <c:orientation val="minMax"/>
        </c:scaling>
        <c:delete val="0"/>
        <c:axPos val="b"/>
        <c:numFmt formatCode="General" sourceLinked="1"/>
        <c:majorTickMark val="out"/>
        <c:minorTickMark val="none"/>
        <c:tickLblPos val="low"/>
        <c:txPr>
          <a:bodyPr/>
          <a:lstStyle/>
          <a:p>
            <a:pPr>
              <a:defRPr b="1">
                <a:latin typeface="Arial" panose="020B0604020202020204" pitchFamily="34" charset="0"/>
                <a:cs typeface="Arial" panose="020B0604020202020204" pitchFamily="34" charset="0"/>
              </a:defRPr>
            </a:pPr>
            <a:endParaRPr lang="nb-NO"/>
          </a:p>
        </c:txPr>
        <c:crossAx val="373966344"/>
        <c:crosses val="autoZero"/>
        <c:auto val="0"/>
        <c:lblAlgn val="ctr"/>
        <c:lblOffset val="100"/>
        <c:noMultiLvlLbl val="0"/>
      </c:catAx>
      <c:valAx>
        <c:axId val="373966344"/>
        <c:scaling>
          <c:orientation val="minMax"/>
        </c:scaling>
        <c:delete val="0"/>
        <c:axPos val="l"/>
        <c:majorGridlines/>
        <c:numFmt formatCode="#,##0" sourceLinked="1"/>
        <c:majorTickMark val="out"/>
        <c:minorTickMark val="none"/>
        <c:tickLblPos val="nextTo"/>
        <c:spPr>
          <a:ln>
            <a:noFill/>
          </a:ln>
        </c:spPr>
        <c:txPr>
          <a:bodyPr/>
          <a:lstStyle/>
          <a:p>
            <a:pPr>
              <a:defRPr b="1">
                <a:latin typeface="Arial" panose="020B0604020202020204" pitchFamily="34" charset="0"/>
                <a:cs typeface="Arial" panose="020B0604020202020204" pitchFamily="34" charset="0"/>
              </a:defRPr>
            </a:pPr>
            <a:endParaRPr lang="nb-NO"/>
          </a:p>
        </c:txPr>
        <c:crossAx val="314156944"/>
        <c:crossesAt val="1"/>
        <c:crossBetween val="between"/>
      </c:valAx>
      <c:valAx>
        <c:axId val="373962816"/>
        <c:scaling>
          <c:orientation val="minMax"/>
          <c:max val="1"/>
          <c:min val="0"/>
        </c:scaling>
        <c:delete val="0"/>
        <c:axPos val="r"/>
        <c:numFmt formatCode="0%" sourceLinked="0"/>
        <c:majorTickMark val="out"/>
        <c:minorTickMark val="none"/>
        <c:tickLblPos val="nextTo"/>
        <c:spPr>
          <a:ln>
            <a:noFill/>
          </a:ln>
        </c:spPr>
        <c:txPr>
          <a:bodyPr/>
          <a:lstStyle/>
          <a:p>
            <a:pPr>
              <a:defRPr b="1">
                <a:latin typeface="Arial" panose="020B0604020202020204" pitchFamily="34" charset="0"/>
                <a:cs typeface="Arial" panose="020B0604020202020204" pitchFamily="34" charset="0"/>
              </a:defRPr>
            </a:pPr>
            <a:endParaRPr lang="nb-NO"/>
          </a:p>
        </c:txPr>
        <c:crossAx val="373963992"/>
        <c:crosses val="max"/>
        <c:crossBetween val="between"/>
      </c:valAx>
      <c:catAx>
        <c:axId val="373963992"/>
        <c:scaling>
          <c:orientation val="minMax"/>
        </c:scaling>
        <c:delete val="1"/>
        <c:axPos val="b"/>
        <c:numFmt formatCode="General" sourceLinked="1"/>
        <c:majorTickMark val="out"/>
        <c:minorTickMark val="none"/>
        <c:tickLblPos val="nextTo"/>
        <c:crossAx val="373962816"/>
        <c:crosses val="autoZero"/>
        <c:auto val="1"/>
        <c:lblAlgn val="ctr"/>
        <c:lblOffset val="100"/>
        <c:noMultiLvlLbl val="0"/>
      </c:catAx>
    </c:plotArea>
    <c:legend>
      <c:legendPos val="r"/>
      <c:layout>
        <c:manualLayout>
          <c:xMode val="edge"/>
          <c:yMode val="edge"/>
          <c:x val="0.80408877777777776"/>
          <c:y val="0.25732361111111118"/>
          <c:w val="0.15396315903452742"/>
          <c:h val="0.50162731481481482"/>
        </c:manualLayout>
      </c:layout>
      <c:overlay val="0"/>
      <c:txPr>
        <a:bodyPr/>
        <a:lstStyle/>
        <a:p>
          <a:pPr>
            <a:defRPr>
              <a:latin typeface="Arial" panose="020B0604020202020204" pitchFamily="34" charset="0"/>
              <a:cs typeface="Arial" panose="020B0604020202020204" pitchFamily="34" charset="0"/>
            </a:defRPr>
          </a:pPr>
          <a:endParaRPr lang="nb-NO"/>
        </a:p>
      </c:txPr>
    </c:legend>
    <c:plotVisOnly val="0"/>
    <c:dispBlanksAs val="gap"/>
    <c:showDLblsOverMax val="0"/>
  </c:chart>
  <c:spPr>
    <a:ln>
      <a:noFill/>
    </a:ln>
  </c:spPr>
  <c:printSettings>
    <c:headerFooter/>
    <c:pageMargins b="0.75" l="0.7" r="0.7" t="0.75" header="0.3" footer="0.3"/>
    <c:pageSetup/>
  </c:printSettings>
</c:chartSpace>
</file>

<file path=xl/ctrlProps/ctrlProp1.xml><?xml version="1.0" encoding="utf-8"?>
<formControlPr xmlns="http://schemas.microsoft.com/office/spreadsheetml/2009/9/main" objectType="CheckBox" checked="Checked" fmlaLink="H14" lockText="1" noThreeD="1"/>
</file>

<file path=xl/ctrlProps/ctrlProp2.xml><?xml version="1.0" encoding="utf-8"?>
<formControlPr xmlns="http://schemas.microsoft.com/office/spreadsheetml/2009/9/main" objectType="CheckBox" fmlaLink="$A$73" lockText="1" noThreeD="1"/>
</file>

<file path=xl/ctrlProps/ctrlProp3.xml><?xml version="1.0" encoding="utf-8"?>
<formControlPr xmlns="http://schemas.microsoft.com/office/spreadsheetml/2009/9/main" objectType="CheckBox" fmlaLink="$A$82" lockText="1" noThreeD="1"/>
</file>

<file path=xl/ctrlProps/ctrlProp4.xml><?xml version="1.0" encoding="utf-8"?>
<formControlPr xmlns="http://schemas.microsoft.com/office/spreadsheetml/2009/9/main" objectType="CheckBox" fmlaLink="$A$75" lockText="1" noThreeD="1"/>
</file>

<file path=xl/ctrlProps/ctrlProp5.xml><?xml version="1.0" encoding="utf-8"?>
<formControlPr xmlns="http://schemas.microsoft.com/office/spreadsheetml/2009/9/main" objectType="CheckBox" fmlaLink="$A$76" lockText="1" noThreeD="1"/>
</file>

<file path=xl/ctrlProps/ctrlProp6.xml><?xml version="1.0" encoding="utf-8"?>
<formControlPr xmlns="http://schemas.microsoft.com/office/spreadsheetml/2009/9/main" objectType="CheckBox" fmlaLink="$A$74" lockText="1" noThreeD="1"/>
</file>

<file path=xl/ctrlProps/ctrlProp7.xml><?xml version="1.0" encoding="utf-8"?>
<formControlPr xmlns="http://schemas.microsoft.com/office/spreadsheetml/2009/9/main" objectType="CheckBox" fmlaLink="$A$77" lockText="1" noThreeD="1"/>
</file>

<file path=xl/ctrlProps/ctrlProp8.xml><?xml version="1.0" encoding="utf-8"?>
<formControlPr xmlns="http://schemas.microsoft.com/office/spreadsheetml/2009/9/main" objectType="CheckBox" fmlaLink="$A$78" lockText="1" noThreeD="1"/>
</file>

<file path=xl/ctrlProps/ctrlProp9.xml><?xml version="1.0" encoding="utf-8"?>
<formControlPr xmlns="http://schemas.microsoft.com/office/spreadsheetml/2009/9/main" objectType="CheckBox" fmlaLink="$A$79" lockText="1" noThreeD="1"/>
</file>

<file path=xl/ctrlProps/ctrlProp10.xml><?xml version="1.0" encoding="utf-8"?>
<formControlPr xmlns="http://schemas.microsoft.com/office/spreadsheetml/2009/9/main" objectType="CheckBox" fmlaLink="$A$81" lockText="1" noThreeD="1"/>
</file>

<file path=xl/ctrlProps/ctrlProp11.xml><?xml version="1.0" encoding="utf-8"?>
<formControlPr xmlns="http://schemas.microsoft.com/office/spreadsheetml/2009/9/main" objectType="CheckBox" fmlaLink="$A$80"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7620</xdr:colOff>
      <xdr:row>5</xdr:row>
      <xdr:rowOff>510540</xdr:rowOff>
    </xdr:from>
    <xdr:to>
      <xdr:col>2</xdr:col>
      <xdr:colOff>3617144</xdr:colOff>
      <xdr:row>8</xdr:row>
      <xdr:rowOff>348497</xdr:rowOff>
    </xdr:to>
    <xdr:pic>
      <xdr:nvPicPr>
        <xdr:cNvPr id="2" name="Bild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3845" y="1910715"/>
          <a:ext cx="3609524" cy="942857"/>
        </a:xfrm>
        <a:prstGeom prst="rect">
          <a:avLst/>
        </a:prstGeom>
        <a:effectLst>
          <a:outerShdw blurRad="50800" dist="38100" dir="2700000" algn="tl" rotWithShape="0">
            <a:prstClr val="black">
              <a:alpha val="40000"/>
            </a:prstClr>
          </a:outerShdw>
        </a:effectLst>
      </xdr:spPr>
    </xdr:pic>
    <xdr:clientData/>
  </xdr:twoCellAnchor>
  <xdr:twoCellAnchor>
    <xdr:from>
      <xdr:col>2</xdr:col>
      <xdr:colOff>3779520</xdr:colOff>
      <xdr:row>5</xdr:row>
      <xdr:rowOff>762000</xdr:rowOff>
    </xdr:from>
    <xdr:to>
      <xdr:col>2</xdr:col>
      <xdr:colOff>4366260</xdr:colOff>
      <xdr:row>5</xdr:row>
      <xdr:rowOff>1143000</xdr:rowOff>
    </xdr:to>
    <xdr:sp macro="" textlink="">
      <xdr:nvSpPr>
        <xdr:cNvPr id="3" name="Pil: høyre 2">
          <a:extLst>
            <a:ext uri="{FF2B5EF4-FFF2-40B4-BE49-F238E27FC236}">
              <a16:creationId xmlns:a16="http://schemas.microsoft.com/office/drawing/2014/main" id="{00000000-0008-0000-0000-000003000000}"/>
            </a:ext>
          </a:extLst>
        </xdr:cNvPr>
        <xdr:cNvSpPr/>
      </xdr:nvSpPr>
      <xdr:spPr>
        <a:xfrm>
          <a:off x="4055745" y="2162175"/>
          <a:ext cx="586740" cy="381000"/>
        </a:xfrm>
        <a:prstGeom prst="rightArrow">
          <a:avLst/>
        </a:prstGeom>
        <a:solidFill>
          <a:srgbClr val="9D2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93345</xdr:colOff>
      <xdr:row>20</xdr:row>
      <xdr:rowOff>201644</xdr:rowOff>
    </xdr:from>
    <xdr:to>
      <xdr:col>5</xdr:col>
      <xdr:colOff>629442</xdr:colOff>
      <xdr:row>36</xdr:row>
      <xdr:rowOff>180974</xdr:rowOff>
    </xdr:to>
    <xdr:pic>
      <xdr:nvPicPr>
        <xdr:cNvPr id="6" name="Bild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369570" y="8450294"/>
          <a:ext cx="8232297" cy="3322605"/>
        </a:xfrm>
        <a:prstGeom prst="rect">
          <a:avLst/>
        </a:prstGeom>
      </xdr:spPr>
    </xdr:pic>
    <xdr:clientData/>
  </xdr:twoCellAnchor>
  <xdr:twoCellAnchor editAs="oneCell">
    <xdr:from>
      <xdr:col>2</xdr:col>
      <xdr:colOff>0</xdr:colOff>
      <xdr:row>49</xdr:row>
      <xdr:rowOff>0</xdr:rowOff>
    </xdr:from>
    <xdr:to>
      <xdr:col>2</xdr:col>
      <xdr:colOff>3838095</xdr:colOff>
      <xdr:row>55</xdr:row>
      <xdr:rowOff>91297</xdr:rowOff>
    </xdr:to>
    <xdr:pic>
      <xdr:nvPicPr>
        <xdr:cNvPr id="7" name="Bild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276225" y="16449675"/>
          <a:ext cx="3838095" cy="1177147"/>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4086225</xdr:colOff>
      <xdr:row>6</xdr:row>
      <xdr:rowOff>0</xdr:rowOff>
    </xdr:from>
    <xdr:to>
      <xdr:col>5</xdr:col>
      <xdr:colOff>228600</xdr:colOff>
      <xdr:row>8</xdr:row>
      <xdr:rowOff>342900</xdr:rowOff>
    </xdr:to>
    <xdr:pic>
      <xdr:nvPicPr>
        <xdr:cNvPr id="8" name="Bilde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362450" y="1485900"/>
          <a:ext cx="3838575"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190500</xdr:colOff>
          <xdr:row>12</xdr:row>
          <xdr:rowOff>85725</xdr:rowOff>
        </xdr:from>
        <xdr:to>
          <xdr:col>4</xdr:col>
          <xdr:colOff>0</xdr:colOff>
          <xdr:row>14</xdr:row>
          <xdr:rowOff>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1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Slå på "Utfyllingsmodus"</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198121</xdr:colOff>
      <xdr:row>39</xdr:row>
      <xdr:rowOff>24764</xdr:rowOff>
    </xdr:from>
    <xdr:to>
      <xdr:col>10</xdr:col>
      <xdr:colOff>732301</xdr:colOff>
      <xdr:row>63</xdr:row>
      <xdr:rowOff>138524</xdr:rowOff>
    </xdr:to>
    <xdr:graphicFrame macro="">
      <xdr:nvGraphicFramePr>
        <xdr:cNvPr id="2" name="Chart 4">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198121</xdr:colOff>
      <xdr:row>66</xdr:row>
      <xdr:rowOff>102870</xdr:rowOff>
    </xdr:from>
    <xdr:to>
      <xdr:col>10</xdr:col>
      <xdr:colOff>732301</xdr:colOff>
      <xdr:row>101</xdr:row>
      <xdr:rowOff>41370</xdr:rowOff>
    </xdr:to>
    <xdr:graphicFrame macro="">
      <xdr:nvGraphicFramePr>
        <xdr:cNvPr id="3" name="Diagram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476250</xdr:colOff>
          <xdr:row>69</xdr:row>
          <xdr:rowOff>95250</xdr:rowOff>
        </xdr:from>
        <xdr:to>
          <xdr:col>12</xdr:col>
          <xdr:colOff>552450</xdr:colOff>
          <xdr:row>70</xdr:row>
          <xdr:rowOff>133350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Driftsinntekter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476250</xdr:colOff>
          <xdr:row>92</xdr:row>
          <xdr:rowOff>66675</xdr:rowOff>
        </xdr:from>
        <xdr:to>
          <xdr:col>12</xdr:col>
          <xdr:colOff>552450</xdr:colOff>
          <xdr:row>93</xdr:row>
          <xdr:rowOff>104775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3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Resultat før skatt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476250</xdr:colOff>
          <xdr:row>82</xdr:row>
          <xdr:rowOff>57150</xdr:rowOff>
        </xdr:from>
        <xdr:to>
          <xdr:col>12</xdr:col>
          <xdr:colOff>552450</xdr:colOff>
          <xdr:row>83</xdr:row>
          <xdr:rowOff>95250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3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DBI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476250</xdr:colOff>
          <xdr:row>83</xdr:row>
          <xdr:rowOff>123825</xdr:rowOff>
        </xdr:from>
        <xdr:to>
          <xdr:col>12</xdr:col>
          <xdr:colOff>552450</xdr:colOff>
          <xdr:row>84</xdr:row>
          <xdr:rowOff>161925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3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DG%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476250</xdr:colOff>
          <xdr:row>70</xdr:row>
          <xdr:rowOff>161925</xdr:rowOff>
        </xdr:from>
        <xdr:to>
          <xdr:col>12</xdr:col>
          <xdr:colOff>552450</xdr:colOff>
          <xdr:row>82</xdr:row>
          <xdr:rowOff>19050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3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Varekost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476250</xdr:colOff>
          <xdr:row>85</xdr:row>
          <xdr:rowOff>47625</xdr:rowOff>
        </xdr:from>
        <xdr:to>
          <xdr:col>12</xdr:col>
          <xdr:colOff>552450</xdr:colOff>
          <xdr:row>86</xdr:row>
          <xdr:rowOff>85725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3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Personalkost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476250</xdr:colOff>
          <xdr:row>86</xdr:row>
          <xdr:rowOff>123825</xdr:rowOff>
        </xdr:from>
        <xdr:to>
          <xdr:col>12</xdr:col>
          <xdr:colOff>552450</xdr:colOff>
          <xdr:row>87</xdr:row>
          <xdr:rowOff>161925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3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Andre driftskost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476250</xdr:colOff>
          <xdr:row>88</xdr:row>
          <xdr:rowOff>19050</xdr:rowOff>
        </xdr:from>
        <xdr:to>
          <xdr:col>12</xdr:col>
          <xdr:colOff>552450</xdr:colOff>
          <xdr:row>89</xdr:row>
          <xdr:rowOff>57150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3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Avskrivninger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476250</xdr:colOff>
          <xdr:row>90</xdr:row>
          <xdr:rowOff>171450</xdr:rowOff>
        </xdr:from>
        <xdr:to>
          <xdr:col>12</xdr:col>
          <xdr:colOff>552450</xdr:colOff>
          <xdr:row>92</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3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Netto finans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476250</xdr:colOff>
          <xdr:row>89</xdr:row>
          <xdr:rowOff>104775</xdr:rowOff>
        </xdr:from>
        <xdr:to>
          <xdr:col>12</xdr:col>
          <xdr:colOff>552450</xdr:colOff>
          <xdr:row>90</xdr:row>
          <xdr:rowOff>142875</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3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Driftsresultat</a:t>
              </a:r>
            </a:p>
          </xdr:txBody>
        </xdr:sp>
        <xdr:clientData/>
      </xdr:twoCellAnchor>
    </mc:Choice>
    <mc:Fallback/>
  </mc:AlternateContent>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3" Type="http://schemas.openxmlformats.org/officeDocument/2006/relationships/vmlDrawing" Target="../drawings/vmlDrawing2.vml"/><Relationship Id="rId7" Type="http://schemas.openxmlformats.org/officeDocument/2006/relationships/ctrlProp" Target="../ctrlProps/ctrlProp5.xml"/><Relationship Id="rId12" Type="http://schemas.openxmlformats.org/officeDocument/2006/relationships/ctrlProp" Target="../ctrlProps/ctrlProp10.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0" Type="http://schemas.openxmlformats.org/officeDocument/2006/relationships/ctrlProp" Target="../ctrlProps/ctrlProp8.xml"/><Relationship Id="rId4" Type="http://schemas.openxmlformats.org/officeDocument/2006/relationships/ctrlProp" Target="../ctrlProps/ctrlProp2.xml"/><Relationship Id="rId9" Type="http://schemas.openxmlformats.org/officeDocument/2006/relationships/ctrlProp" Target="../ctrlProps/ctrlProp7.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6DCDB-3067-4D98-8DE7-1CF2DBE9E335}">
  <sheetPr codeName="Ark5"/>
  <dimension ref="B1:C48"/>
  <sheetViews>
    <sheetView showGridLines="0" tabSelected="1" workbookViewId="0">
      <selection activeCell="E13" sqref="E13"/>
    </sheetView>
  </sheetViews>
  <sheetFormatPr baseColWidth="10" defaultRowHeight="14.25" x14ac:dyDescent="0.2"/>
  <cols>
    <col min="1" max="1" width="2.75" customWidth="1"/>
    <col min="2" max="2" width="0.875" customWidth="1"/>
    <col min="3" max="3" width="79" style="97" customWidth="1"/>
  </cols>
  <sheetData>
    <row r="1" spans="2:3" s="17" customFormat="1" ht="27.75" x14ac:dyDescent="0.2">
      <c r="B1" s="17" t="s">
        <v>142</v>
      </c>
      <c r="C1" s="95"/>
    </row>
    <row r="2" spans="2:3" s="18" customFormat="1" ht="18" x14ac:dyDescent="0.25">
      <c r="B2" s="87" t="str">
        <f>Firmanavn</f>
        <v>Eksempelbedriften AS</v>
      </c>
      <c r="C2" s="96"/>
    </row>
    <row r="3" spans="2:3" ht="13.5" customHeight="1" x14ac:dyDescent="0.2"/>
    <row r="4" spans="2:3" ht="15" x14ac:dyDescent="0.2">
      <c r="C4" s="36" t="s">
        <v>143</v>
      </c>
    </row>
    <row r="6" spans="2:3" ht="42.75" x14ac:dyDescent="0.2">
      <c r="C6" s="98" t="s">
        <v>144</v>
      </c>
    </row>
    <row r="7" spans="2:3" ht="31.9" customHeight="1" x14ac:dyDescent="0.2"/>
    <row r="8" spans="2:3" s="36" customFormat="1" ht="15" x14ac:dyDescent="0.2">
      <c r="C8" s="36" t="s">
        <v>145</v>
      </c>
    </row>
    <row r="9" spans="2:3" ht="41.25" customHeight="1" x14ac:dyDescent="0.2"/>
    <row r="10" spans="2:3" s="36" customFormat="1" ht="15" x14ac:dyDescent="0.2">
      <c r="C10" s="36" t="s">
        <v>5</v>
      </c>
    </row>
    <row r="12" spans="2:3" ht="57" x14ac:dyDescent="0.2">
      <c r="C12" s="98" t="s">
        <v>146</v>
      </c>
    </row>
    <row r="13" spans="2:3" ht="31.9" customHeight="1" x14ac:dyDescent="0.2"/>
    <row r="14" spans="2:3" s="36" customFormat="1" ht="15" x14ac:dyDescent="0.2">
      <c r="C14" s="36" t="s">
        <v>44</v>
      </c>
    </row>
    <row r="16" spans="2:3" ht="42.75" x14ac:dyDescent="0.2">
      <c r="C16" s="98" t="s">
        <v>147</v>
      </c>
    </row>
    <row r="17" spans="3:3" ht="31.9" customHeight="1" x14ac:dyDescent="0.2"/>
    <row r="18" spans="3:3" ht="15" x14ac:dyDescent="0.2">
      <c r="C18" s="36" t="s">
        <v>148</v>
      </c>
    </row>
    <row r="20" spans="3:3" ht="57" x14ac:dyDescent="0.2">
      <c r="C20" s="98" t="s">
        <v>149</v>
      </c>
    </row>
    <row r="21" spans="3:3" ht="31.9" customHeight="1" x14ac:dyDescent="0.2"/>
    <row r="22" spans="3:3" s="99" customFormat="1" ht="15" x14ac:dyDescent="0.2"/>
    <row r="23" spans="3:3" s="101" customFormat="1" x14ac:dyDescent="0.2"/>
    <row r="24" spans="3:3" s="101" customFormat="1" x14ac:dyDescent="0.2"/>
    <row r="25" spans="3:3" s="101" customFormat="1" ht="31.9" customHeight="1" x14ac:dyDescent="0.2"/>
    <row r="26" spans="3:3" s="101" customFormat="1" x14ac:dyDescent="0.2"/>
    <row r="27" spans="3:3" s="101" customFormat="1" x14ac:dyDescent="0.2"/>
    <row r="28" spans="3:3" s="101" customFormat="1" x14ac:dyDescent="0.2"/>
    <row r="42" spans="3:3" ht="15" x14ac:dyDescent="0.2">
      <c r="C42" s="99" t="s">
        <v>150</v>
      </c>
    </row>
    <row r="43" spans="3:3" x14ac:dyDescent="0.2">
      <c r="C43" s="100"/>
    </row>
    <row r="44" spans="3:3" ht="42.75" x14ac:dyDescent="0.2">
      <c r="C44" s="102" t="s">
        <v>151</v>
      </c>
    </row>
    <row r="45" spans="3:3" x14ac:dyDescent="0.2">
      <c r="C45" s="100"/>
    </row>
    <row r="46" spans="3:3" ht="15" x14ac:dyDescent="0.2">
      <c r="C46" s="99" t="s">
        <v>152</v>
      </c>
    </row>
    <row r="47" spans="3:3" x14ac:dyDescent="0.2">
      <c r="C47" s="100"/>
    </row>
    <row r="48" spans="3:3" ht="90" customHeight="1" x14ac:dyDescent="0.2">
      <c r="C48" s="102" t="s">
        <v>153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2"/>
  <dimension ref="B1:H14"/>
  <sheetViews>
    <sheetView showGridLines="0" zoomScaleNormal="100" workbookViewId="0">
      <selection activeCell="D19" sqref="D19"/>
    </sheetView>
  </sheetViews>
  <sheetFormatPr baseColWidth="10" defaultRowHeight="14.25" x14ac:dyDescent="0.2"/>
  <cols>
    <col min="1" max="1" width="2.5" customWidth="1"/>
    <col min="4" max="4" width="41.375" customWidth="1"/>
    <col min="5" max="5" width="11.25" customWidth="1"/>
    <col min="8" max="8" width="11.25" hidden="1" customWidth="1"/>
  </cols>
  <sheetData>
    <row r="1" spans="2:8" s="17" customFormat="1" ht="31.9" customHeight="1" x14ac:dyDescent="0.2">
      <c r="B1" s="17" t="s">
        <v>88</v>
      </c>
    </row>
    <row r="2" spans="2:8" s="18" customFormat="1" ht="18" x14ac:dyDescent="0.25">
      <c r="B2" s="87" t="str">
        <f>Firmanavn</f>
        <v>Eksempelbedriften AS</v>
      </c>
    </row>
    <row r="3" spans="2:8" ht="31.9" customHeight="1" x14ac:dyDescent="0.2"/>
    <row r="4" spans="2:8" x14ac:dyDescent="0.2">
      <c r="B4" t="s">
        <v>89</v>
      </c>
      <c r="D4" s="89" t="s">
        <v>104</v>
      </c>
    </row>
    <row r="5" spans="2:8" ht="4.1500000000000004" customHeight="1" x14ac:dyDescent="0.2"/>
    <row r="6" spans="2:8" x14ac:dyDescent="0.2">
      <c r="B6" t="s">
        <v>90</v>
      </c>
      <c r="D6" s="28">
        <v>2020</v>
      </c>
    </row>
    <row r="7" spans="2:8" ht="4.1500000000000004" customHeight="1" x14ac:dyDescent="0.2"/>
    <row r="8" spans="2:8" x14ac:dyDescent="0.2">
      <c r="B8" t="s">
        <v>92</v>
      </c>
      <c r="D8" s="56">
        <v>0.14099999999999999</v>
      </c>
    </row>
    <row r="9" spans="2:8" ht="4.1500000000000004" customHeight="1" x14ac:dyDescent="0.2"/>
    <row r="10" spans="2:8" x14ac:dyDescent="0.2">
      <c r="B10" t="s">
        <v>6</v>
      </c>
      <c r="D10" s="56">
        <v>0.12</v>
      </c>
    </row>
    <row r="11" spans="2:8" ht="4.1500000000000004" customHeight="1" x14ac:dyDescent="0.2"/>
    <row r="12" spans="2:8" x14ac:dyDescent="0.2">
      <c r="B12" t="s">
        <v>7</v>
      </c>
      <c r="D12" s="56">
        <v>0.02</v>
      </c>
    </row>
    <row r="14" spans="2:8" x14ac:dyDescent="0.2">
      <c r="H14" s="85" t="b">
        <v>1</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1</xdr:col>
                    <xdr:colOff>190500</xdr:colOff>
                    <xdr:row>12</xdr:row>
                    <xdr:rowOff>85725</xdr:rowOff>
                  </from>
                  <to>
                    <xdr:col>4</xdr:col>
                    <xdr:colOff>0</xdr:colOff>
                    <xdr:row>14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Ark1">
    <pageSetUpPr fitToPage="1"/>
  </sheetPr>
  <dimension ref="B1:O40"/>
  <sheetViews>
    <sheetView showGridLines="0" zoomScaleNormal="100" workbookViewId="0">
      <selection activeCell="H18" sqref="H18"/>
    </sheetView>
  </sheetViews>
  <sheetFormatPr baseColWidth="10" defaultColWidth="11.5" defaultRowHeight="14.25" x14ac:dyDescent="0.2"/>
  <cols>
    <col min="1" max="1" width="2.75" style="12" customWidth="1"/>
    <col min="2" max="2" width="0.875" style="12" customWidth="1"/>
    <col min="3" max="3" width="24.625" style="13" customWidth="1"/>
    <col min="4" max="5" width="10.75" style="12" customWidth="1"/>
    <col min="6" max="6" width="0.875" style="12" customWidth="1"/>
    <col min="7" max="7" width="11.5" style="12" customWidth="1"/>
    <col min="8" max="8" width="11.5" style="12"/>
    <col min="9" max="9" width="8.25" style="12" customWidth="1"/>
    <col min="10" max="16384" width="11.5" style="12"/>
  </cols>
  <sheetData>
    <row r="1" spans="2:10" s="17" customFormat="1" ht="31.9" customHeight="1" x14ac:dyDescent="0.2">
      <c r="B1" s="17" t="s">
        <v>10</v>
      </c>
    </row>
    <row r="2" spans="2:10" s="18" customFormat="1" ht="18" x14ac:dyDescent="0.25">
      <c r="B2" s="87" t="str">
        <f>Firmanavn</f>
        <v>Eksempelbedriften AS</v>
      </c>
    </row>
    <row r="3" spans="2:10" customFormat="1" ht="31.9" customHeight="1" x14ac:dyDescent="0.2"/>
    <row r="4" spans="2:10" customFormat="1" ht="15" x14ac:dyDescent="0.25">
      <c r="B4" s="29"/>
      <c r="C4" s="30"/>
      <c r="D4" s="31">
        <f>StartÅr</f>
        <v>2020</v>
      </c>
      <c r="F4" s="14"/>
      <c r="G4" s="12"/>
      <c r="H4" s="12"/>
      <c r="I4" s="12"/>
      <c r="J4" s="12"/>
    </row>
    <row r="5" spans="2:10" customFormat="1" ht="15" x14ac:dyDescent="0.25">
      <c r="B5" s="29"/>
      <c r="C5" s="30" t="s">
        <v>101</v>
      </c>
      <c r="D5" s="31" t="s">
        <v>44</v>
      </c>
      <c r="F5" s="14"/>
      <c r="G5" s="12"/>
      <c r="H5" s="12"/>
      <c r="I5" s="12"/>
      <c r="J5" s="12"/>
    </row>
    <row r="6" spans="2:10" x14ac:dyDescent="0.2">
      <c r="D6"/>
      <c r="E6" s="14"/>
    </row>
    <row r="7" spans="2:10" ht="15" x14ac:dyDescent="0.25">
      <c r="C7" s="11" t="s">
        <v>2</v>
      </c>
      <c r="D7" s="20">
        <f>Budsjett!P13</f>
        <v>3240</v>
      </c>
      <c r="E7" s="14"/>
    </row>
    <row r="8" spans="2:10" ht="15" x14ac:dyDescent="0.25">
      <c r="B8" s="32"/>
      <c r="C8" s="21" t="s">
        <v>3</v>
      </c>
      <c r="D8" s="22">
        <f>SUM(D7)</f>
        <v>3240</v>
      </c>
      <c r="E8" s="14"/>
    </row>
    <row r="9" spans="2:10" x14ac:dyDescent="0.2">
      <c r="C9" s="23"/>
      <c r="D9"/>
      <c r="E9" s="14"/>
    </row>
    <row r="10" spans="2:10" ht="15" x14ac:dyDescent="0.25">
      <c r="C10" s="23" t="s">
        <v>11</v>
      </c>
      <c r="D10" s="25">
        <f>Budsjett!P28</f>
        <v>486</v>
      </c>
    </row>
    <row r="11" spans="2:10" ht="15" x14ac:dyDescent="0.25">
      <c r="B11" s="32"/>
      <c r="C11" s="21" t="s">
        <v>12</v>
      </c>
      <c r="D11" s="22">
        <f>SUM(D10)</f>
        <v>486</v>
      </c>
    </row>
    <row r="12" spans="2:10" x14ac:dyDescent="0.2">
      <c r="C12" s="23"/>
      <c r="D12"/>
    </row>
    <row r="13" spans="2:10" ht="15" x14ac:dyDescent="0.25">
      <c r="C13" s="23" t="s">
        <v>5</v>
      </c>
      <c r="D13" s="25">
        <f>Budsjett!P49</f>
        <v>1173.204</v>
      </c>
    </row>
    <row r="14" spans="2:10" ht="15" x14ac:dyDescent="0.25">
      <c r="B14" s="32"/>
      <c r="C14" s="21" t="s">
        <v>13</v>
      </c>
      <c r="D14" s="22">
        <f>SUM(D13)</f>
        <v>1173.204</v>
      </c>
    </row>
    <row r="15" spans="2:10" x14ac:dyDescent="0.2">
      <c r="C15" s="23"/>
      <c r="D15"/>
    </row>
    <row r="16" spans="2:10" ht="15" x14ac:dyDescent="0.25">
      <c r="C16" s="23" t="s">
        <v>14</v>
      </c>
      <c r="D16" s="25">
        <f>Budsjett!P52</f>
        <v>36</v>
      </c>
    </row>
    <row r="17" spans="2:15" ht="15" x14ac:dyDescent="0.25">
      <c r="C17" s="23" t="s">
        <v>9</v>
      </c>
      <c r="D17" s="25">
        <f>(Budsjett!P53+Budsjett!P54+Budsjett!P55+Budsjett!P56+Budsjett!P57+Budsjett!P58+Budsjett!P59+Budsjett!P60+Budsjett!P61+Budsjett!P62+Budsjett!P63+Budsjett!P64+Budsjett!P65+Budsjett!P66+Budsjett!P67+Budsjett!P78+Budsjett!P79+Budsjett!P80+Budsjett!P81+Budsjett!P82+Budsjett!P86+Budsjett!P87+Budsjett!P88+Budsjett!P89+Budsjett!P90+Budsjett!P91+Budsjett!P92+Budsjett!P93+Budsjett!P94+Budsjett!P95+Budsjett!P96+Budsjett!P97+Budsjett!P98+Budsjett!P99+Budsjett!P100+Budsjett!P101)</f>
        <v>469</v>
      </c>
    </row>
    <row r="18" spans="2:15" ht="15" x14ac:dyDescent="0.25">
      <c r="B18" s="32"/>
      <c r="C18" s="21" t="s">
        <v>15</v>
      </c>
      <c r="D18" s="22">
        <f>SUM(D16:D17)</f>
        <v>505</v>
      </c>
    </row>
    <row r="19" spans="2:15" x14ac:dyDescent="0.2">
      <c r="C19" s="23"/>
      <c r="D19"/>
    </row>
    <row r="20" spans="2:15" ht="15" x14ac:dyDescent="0.25">
      <c r="C20" s="23" t="s">
        <v>4</v>
      </c>
      <c r="D20" s="25">
        <f>D8-D11-D14-D18</f>
        <v>1075.796</v>
      </c>
    </row>
    <row r="21" spans="2:15" x14ac:dyDescent="0.2">
      <c r="C21" s="23"/>
      <c r="D21"/>
      <c r="G21" s="15"/>
      <c r="H21" s="15"/>
      <c r="I21" s="15"/>
      <c r="J21" s="15"/>
    </row>
    <row r="22" spans="2:15" ht="15" x14ac:dyDescent="0.25">
      <c r="C22" s="23" t="s">
        <v>0</v>
      </c>
      <c r="D22" s="25">
        <f>(Budsjett!P113+Budsjett!P114+Budsjett!P115)</f>
        <v>17</v>
      </c>
      <c r="E22" s="14"/>
      <c r="G22" s="15"/>
      <c r="H22" s="15"/>
      <c r="I22" s="15"/>
      <c r="J22" s="15"/>
    </row>
    <row r="23" spans="2:15" ht="15" x14ac:dyDescent="0.25">
      <c r="C23" s="23" t="s">
        <v>1</v>
      </c>
      <c r="D23" s="25">
        <f>Budsjett!P116</f>
        <v>37</v>
      </c>
      <c r="E23" s="14"/>
      <c r="G23" s="15"/>
      <c r="H23" s="15"/>
      <c r="I23" s="15"/>
      <c r="J23" s="15"/>
    </row>
    <row r="24" spans="2:15" ht="15" x14ac:dyDescent="0.25">
      <c r="B24" s="32"/>
      <c r="C24" s="21" t="s">
        <v>16</v>
      </c>
      <c r="D24" s="22">
        <f>D22-D23</f>
        <v>-20</v>
      </c>
      <c r="E24" s="14"/>
      <c r="G24" s="15"/>
      <c r="H24" s="15"/>
      <c r="I24" s="15"/>
      <c r="J24" s="15"/>
    </row>
    <row r="25" spans="2:15" x14ac:dyDescent="0.2">
      <c r="C25" s="11"/>
      <c r="D25" s="11"/>
      <c r="E25" s="14"/>
      <c r="G25" s="15"/>
      <c r="H25" s="15"/>
      <c r="I25" s="15"/>
      <c r="J25" s="15"/>
      <c r="K25" s="15"/>
      <c r="L25" s="15"/>
      <c r="M25" s="15"/>
    </row>
    <row r="26" spans="2:15" ht="15" x14ac:dyDescent="0.25">
      <c r="B26" s="33"/>
      <c r="C26" s="27" t="s">
        <v>17</v>
      </c>
      <c r="D26" s="26">
        <f>D20+D24</f>
        <v>1055.796</v>
      </c>
      <c r="E26" s="14"/>
      <c r="G26" s="15"/>
      <c r="H26" s="15"/>
      <c r="I26" s="15"/>
      <c r="J26" s="15"/>
      <c r="K26" s="15"/>
      <c r="L26" s="15"/>
      <c r="M26" s="15"/>
    </row>
    <row r="27" spans="2:15" x14ac:dyDescent="0.2">
      <c r="F27" s="14"/>
      <c r="G27" s="14"/>
      <c r="I27" s="15"/>
      <c r="J27" s="15"/>
      <c r="K27" s="15"/>
      <c r="L27" s="15"/>
      <c r="M27" s="15"/>
      <c r="N27" s="15"/>
      <c r="O27" s="15"/>
    </row>
    <row r="28" spans="2:15" x14ac:dyDescent="0.2">
      <c r="F28" s="16"/>
      <c r="G28" s="14"/>
      <c r="M28" s="15"/>
      <c r="N28" s="15"/>
      <c r="O28" s="15"/>
    </row>
    <row r="29" spans="2:15" x14ac:dyDescent="0.2">
      <c r="F29" s="16"/>
      <c r="G29" s="14"/>
      <c r="M29" s="15"/>
      <c r="N29" s="15"/>
      <c r="O29" s="15"/>
    </row>
    <row r="30" spans="2:15" x14ac:dyDescent="0.2">
      <c r="F30" s="16"/>
      <c r="G30" s="14"/>
      <c r="M30" s="15"/>
      <c r="N30" s="15"/>
      <c r="O30" s="15"/>
    </row>
    <row r="31" spans="2:15" x14ac:dyDescent="0.2">
      <c r="F31" s="16"/>
      <c r="G31" s="14"/>
      <c r="M31" s="15"/>
      <c r="N31" s="15"/>
      <c r="O31" s="15"/>
    </row>
    <row r="32" spans="2:15" x14ac:dyDescent="0.2">
      <c r="F32" s="16"/>
      <c r="G32" s="14"/>
    </row>
    <row r="33" spans="6:7" x14ac:dyDescent="0.2">
      <c r="F33" s="16"/>
      <c r="G33" s="14"/>
    </row>
    <row r="34" spans="6:7" x14ac:dyDescent="0.2">
      <c r="F34" s="16"/>
      <c r="G34" s="14"/>
    </row>
    <row r="35" spans="6:7" x14ac:dyDescent="0.2">
      <c r="F35" s="16"/>
      <c r="G35" s="14"/>
    </row>
    <row r="36" spans="6:7" x14ac:dyDescent="0.2">
      <c r="F36" s="16"/>
      <c r="G36" s="14"/>
    </row>
    <row r="37" spans="6:7" x14ac:dyDescent="0.2">
      <c r="F37" s="16"/>
      <c r="G37" s="14"/>
    </row>
    <row r="38" spans="6:7" x14ac:dyDescent="0.2">
      <c r="F38" s="16"/>
      <c r="G38" s="14"/>
    </row>
    <row r="39" spans="6:7" x14ac:dyDescent="0.2">
      <c r="F39" s="14"/>
      <c r="G39" s="14"/>
    </row>
    <row r="40" spans="6:7" x14ac:dyDescent="0.2">
      <c r="F40" s="14"/>
      <c r="G40" s="14"/>
    </row>
  </sheetData>
  <pageMargins left="0.7" right="0.7" top="0.75" bottom="0.75" header="0.3" footer="0.3"/>
  <pageSetup paperSize="9" scale="32"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Ark3">
    <pageSetUpPr fitToPage="1"/>
  </sheetPr>
  <dimension ref="A1:V82"/>
  <sheetViews>
    <sheetView showGridLines="0" zoomScaleNormal="100" workbookViewId="0">
      <selection activeCell="E8" sqref="E8"/>
    </sheetView>
  </sheetViews>
  <sheetFormatPr baseColWidth="10" defaultColWidth="9" defaultRowHeight="14.25" x14ac:dyDescent="0.2"/>
  <cols>
    <col min="1" max="1" width="2.75" customWidth="1"/>
    <col min="2" max="2" width="0.875" customWidth="1"/>
    <col min="3" max="3" width="25.75" customWidth="1"/>
    <col min="4" max="16" width="12.25" customWidth="1"/>
    <col min="17" max="17" width="0.875" customWidth="1"/>
    <col min="19" max="19" width="8.25" hidden="1" customWidth="1"/>
    <col min="20" max="20" width="9" hidden="1" customWidth="1"/>
    <col min="21" max="21" width="0" hidden="1" customWidth="1"/>
  </cols>
  <sheetData>
    <row r="1" spans="2:22" s="17" customFormat="1" ht="31.9" customHeight="1" x14ac:dyDescent="0.2">
      <c r="B1" s="17" t="str">
        <f>"Prognose og likviditet for " &amp; StartÅr</f>
        <v>Prognose og likviditet for 2020</v>
      </c>
    </row>
    <row r="2" spans="2:22" s="18" customFormat="1" ht="18" x14ac:dyDescent="0.25">
      <c r="B2" s="87" t="str">
        <f>Firmanavn</f>
        <v>Eksempelbedriften AS</v>
      </c>
    </row>
    <row r="3" spans="2:22" ht="31.9" customHeight="1" x14ac:dyDescent="0.3">
      <c r="C3" s="5"/>
      <c r="T3" t="s">
        <v>93</v>
      </c>
    </row>
    <row r="4" spans="2:22" ht="15" x14ac:dyDescent="0.2">
      <c r="C4" s="36" t="s">
        <v>18</v>
      </c>
      <c r="T4" t="str">
        <f>"Utvikling i kontantbeholdning per måned " &amp; StartÅr+1</f>
        <v>Utvikling i kontantbeholdning per måned 2021</v>
      </c>
    </row>
    <row r="5" spans="2:22" ht="27.6" customHeight="1" x14ac:dyDescent="0.25">
      <c r="B5" s="30"/>
      <c r="C5" s="58" t="s">
        <v>45</v>
      </c>
      <c r="D5" s="59" t="s">
        <v>19</v>
      </c>
      <c r="E5" s="59" t="s">
        <v>20</v>
      </c>
      <c r="F5" s="59" t="s">
        <v>21</v>
      </c>
      <c r="G5" s="59" t="s">
        <v>22</v>
      </c>
      <c r="H5" s="59" t="s">
        <v>23</v>
      </c>
      <c r="I5" s="59" t="s">
        <v>24</v>
      </c>
      <c r="J5" s="59" t="s">
        <v>25</v>
      </c>
      <c r="K5" s="59" t="s">
        <v>26</v>
      </c>
      <c r="L5" s="59" t="s">
        <v>27</v>
      </c>
      <c r="M5" s="59" t="s">
        <v>28</v>
      </c>
      <c r="N5" s="59" t="s">
        <v>29</v>
      </c>
      <c r="O5" s="59" t="s">
        <v>30</v>
      </c>
      <c r="P5" s="59" t="s">
        <v>31</v>
      </c>
      <c r="Q5" s="30"/>
      <c r="R5" s="12"/>
      <c r="T5" t="str">
        <f>"Utvikling per måned " &amp; StartÅr</f>
        <v>Utvikling per måned 2020</v>
      </c>
    </row>
    <row r="6" spans="2:22" x14ac:dyDescent="0.2">
      <c r="C6" s="12" t="s">
        <v>2</v>
      </c>
      <c r="D6" s="16">
        <f>Budsjett!D13</f>
        <v>270</v>
      </c>
      <c r="E6" s="16">
        <f>Budsjett!E13</f>
        <v>270</v>
      </c>
      <c r="F6" s="16">
        <f>Budsjett!F13</f>
        <v>270</v>
      </c>
      <c r="G6" s="16">
        <f>Budsjett!G13</f>
        <v>270</v>
      </c>
      <c r="H6" s="16">
        <f>Budsjett!H13</f>
        <v>270</v>
      </c>
      <c r="I6" s="16">
        <f>Budsjett!I13</f>
        <v>270</v>
      </c>
      <c r="J6" s="16">
        <f>Budsjett!J13</f>
        <v>270</v>
      </c>
      <c r="K6" s="16">
        <f>Budsjett!K13</f>
        <v>270</v>
      </c>
      <c r="L6" s="16">
        <f>Budsjett!L13</f>
        <v>270</v>
      </c>
      <c r="M6" s="16">
        <f>Budsjett!M13</f>
        <v>270</v>
      </c>
      <c r="N6" s="16">
        <f>Budsjett!N13</f>
        <v>270</v>
      </c>
      <c r="O6" s="16">
        <f>Budsjett!O13</f>
        <v>270</v>
      </c>
      <c r="P6" s="83">
        <f>SUM(D6:O6)</f>
        <v>3240</v>
      </c>
      <c r="Q6" s="43"/>
      <c r="R6" s="12"/>
    </row>
    <row r="7" spans="2:22" x14ac:dyDescent="0.2">
      <c r="C7" s="12" t="s">
        <v>32</v>
      </c>
      <c r="D7" s="60">
        <f>Budsjett!D28+Budsjett!D49+Budsjett!D83+Budsjett!D110+Budsjett!D117</f>
        <v>173.267</v>
      </c>
      <c r="E7" s="60">
        <f>Budsjett!E28+Budsjett!E49+Budsjett!E83+Budsjett!E110+Budsjett!E117</f>
        <v>175.267</v>
      </c>
      <c r="F7" s="60">
        <f>Budsjett!F28+Budsjett!F49+Budsjett!F83+Budsjett!F110+Budsjett!F117</f>
        <v>187.267</v>
      </c>
      <c r="G7" s="60">
        <f>Budsjett!G28+Budsjett!G49+Budsjett!G83+Budsjett!G110+Budsjett!G117</f>
        <v>188.267</v>
      </c>
      <c r="H7" s="60">
        <f>Budsjett!H28+Budsjett!H49+Budsjett!H83+Budsjett!H110+Budsjett!H117</f>
        <v>175.267</v>
      </c>
      <c r="I7" s="60">
        <f>Budsjett!I28+Budsjett!I49+Budsjett!I83+Budsjett!I110+Budsjett!I117</f>
        <v>177.267</v>
      </c>
      <c r="J7" s="60">
        <f>Budsjett!J28+Budsjett!J49+Budsjett!J83+Budsjett!J110+Budsjett!J117</f>
        <v>181.267</v>
      </c>
      <c r="K7" s="60">
        <f>Budsjett!K28+Budsjett!K49+Budsjett!K83+Budsjett!K110+Budsjett!K117</f>
        <v>175.267</v>
      </c>
      <c r="L7" s="60">
        <f>Budsjett!L28+Budsjett!L49+Budsjett!L83+Budsjett!L110+Budsjett!L117</f>
        <v>161.267</v>
      </c>
      <c r="M7" s="60">
        <f>Budsjett!M28+Budsjett!M49+Budsjett!M83+Budsjett!M110+Budsjett!M117</f>
        <v>193.267</v>
      </c>
      <c r="N7" s="60">
        <f>Budsjett!N28+Budsjett!N49+Budsjett!N83+Budsjett!N110+Budsjett!N117</f>
        <v>178.267</v>
      </c>
      <c r="O7" s="60">
        <f>Budsjett!O28+Budsjett!O49+Budsjett!O83+Budsjett!O110+Budsjett!O117</f>
        <v>178.267</v>
      </c>
      <c r="P7" s="60">
        <f>SUM(D7:O7)</f>
        <v>2144.2040000000002</v>
      </c>
      <c r="Q7" s="43"/>
      <c r="R7" s="12"/>
    </row>
    <row r="8" spans="2:22" ht="15" x14ac:dyDescent="0.25">
      <c r="B8" s="37"/>
      <c r="C8" s="46" t="s">
        <v>33</v>
      </c>
      <c r="D8" s="61">
        <f t="shared" ref="D8:P8" si="0">D6-D7</f>
        <v>96.733000000000004</v>
      </c>
      <c r="E8" s="61">
        <f t="shared" si="0"/>
        <v>94.733000000000004</v>
      </c>
      <c r="F8" s="61">
        <f t="shared" si="0"/>
        <v>82.733000000000004</v>
      </c>
      <c r="G8" s="61">
        <f t="shared" si="0"/>
        <v>81.733000000000004</v>
      </c>
      <c r="H8" s="61">
        <f t="shared" si="0"/>
        <v>94.733000000000004</v>
      </c>
      <c r="I8" s="61">
        <f t="shared" si="0"/>
        <v>92.733000000000004</v>
      </c>
      <c r="J8" s="61">
        <f t="shared" si="0"/>
        <v>88.733000000000004</v>
      </c>
      <c r="K8" s="61">
        <f t="shared" si="0"/>
        <v>94.733000000000004</v>
      </c>
      <c r="L8" s="61">
        <f t="shared" si="0"/>
        <v>108.733</v>
      </c>
      <c r="M8" s="61">
        <f t="shared" si="0"/>
        <v>76.733000000000004</v>
      </c>
      <c r="N8" s="61">
        <f t="shared" si="0"/>
        <v>91.733000000000004</v>
      </c>
      <c r="O8" s="61">
        <f t="shared" si="0"/>
        <v>91.733000000000004</v>
      </c>
      <c r="P8" s="61">
        <f t="shared" si="0"/>
        <v>1095.7959999999998</v>
      </c>
      <c r="Q8" s="32"/>
      <c r="R8" s="12"/>
    </row>
    <row r="9" spans="2:22" ht="15" x14ac:dyDescent="0.25">
      <c r="C9" s="19"/>
      <c r="D9" s="62"/>
      <c r="E9" s="62"/>
      <c r="F9" s="62"/>
      <c r="G9" s="62"/>
      <c r="H9" s="62"/>
      <c r="I9" s="62"/>
      <c r="J9" s="62"/>
      <c r="K9" s="62"/>
      <c r="L9" s="62"/>
      <c r="M9" s="62"/>
      <c r="N9" s="62"/>
      <c r="O9" s="62"/>
      <c r="P9" s="43"/>
      <c r="Q9" s="43"/>
      <c r="R9" s="12"/>
    </row>
    <row r="10" spans="2:22" ht="15" x14ac:dyDescent="0.25">
      <c r="C10" s="47" t="s">
        <v>94</v>
      </c>
      <c r="D10" s="62"/>
      <c r="E10" s="62"/>
      <c r="F10" s="62"/>
      <c r="G10" s="62"/>
      <c r="H10" s="62"/>
      <c r="I10" s="62"/>
      <c r="J10" s="62"/>
      <c r="K10" s="62"/>
      <c r="L10" s="62"/>
      <c r="M10" s="62"/>
      <c r="N10" s="62"/>
      <c r="O10" s="62"/>
      <c r="P10" s="43"/>
      <c r="Q10" s="43"/>
      <c r="R10" s="12"/>
    </row>
    <row r="11" spans="2:22" x14ac:dyDescent="0.2">
      <c r="C11" s="86" t="str">
        <f>Firmanavn</f>
        <v>Eksempelbedriften AS</v>
      </c>
      <c r="D11" s="80"/>
      <c r="E11" s="80"/>
      <c r="F11" s="80"/>
      <c r="G11" s="80"/>
      <c r="H11" s="80"/>
      <c r="I11" s="80"/>
      <c r="J11" s="80"/>
      <c r="K11" s="80"/>
      <c r="L11" s="80"/>
      <c r="M11" s="80"/>
      <c r="N11" s="80"/>
      <c r="O11" s="80"/>
      <c r="P11" s="16">
        <f>SUM(D11:O11)</f>
        <v>0</v>
      </c>
      <c r="Q11" s="43"/>
      <c r="R11" s="12"/>
    </row>
    <row r="12" spans="2:22" x14ac:dyDescent="0.2">
      <c r="C12" s="12" t="s">
        <v>84</v>
      </c>
      <c r="D12" s="80">
        <v>150</v>
      </c>
      <c r="E12" s="80"/>
      <c r="F12" s="80"/>
      <c r="G12" s="80"/>
      <c r="H12" s="80"/>
      <c r="I12" s="80"/>
      <c r="J12" s="80"/>
      <c r="K12" s="80"/>
      <c r="L12" s="80"/>
      <c r="M12" s="80"/>
      <c r="N12" s="80"/>
      <c r="O12" s="80"/>
      <c r="P12" s="16">
        <f>SUM(D12:O12)</f>
        <v>150</v>
      </c>
      <c r="Q12" s="43"/>
      <c r="R12" s="12"/>
    </row>
    <row r="13" spans="2:22" x14ac:dyDescent="0.2">
      <c r="C13" s="12" t="s">
        <v>85</v>
      </c>
      <c r="D13" s="80">
        <v>75</v>
      </c>
      <c r="E13" s="80"/>
      <c r="F13" s="80"/>
      <c r="G13" s="80"/>
      <c r="H13" s="80"/>
      <c r="I13" s="80"/>
      <c r="J13" s="80"/>
      <c r="K13" s="80"/>
      <c r="L13" s="80"/>
      <c r="M13" s="80"/>
      <c r="N13" s="80"/>
      <c r="O13" s="80"/>
      <c r="P13" s="16">
        <f>SUM(D13:O13)</f>
        <v>75</v>
      </c>
      <c r="Q13" s="43"/>
      <c r="R13" s="12"/>
      <c r="V13" s="15"/>
    </row>
    <row r="14" spans="2:22" ht="15" x14ac:dyDescent="0.25">
      <c r="B14" s="37"/>
      <c r="C14" s="46" t="s">
        <v>34</v>
      </c>
      <c r="D14" s="46">
        <f>D11+D12-D13</f>
        <v>75</v>
      </c>
      <c r="E14" s="46">
        <f t="shared" ref="E14:P14" si="1">E11+E12-E13</f>
        <v>0</v>
      </c>
      <c r="F14" s="46">
        <f t="shared" si="1"/>
        <v>0</v>
      </c>
      <c r="G14" s="46">
        <f t="shared" si="1"/>
        <v>0</v>
      </c>
      <c r="H14" s="46">
        <f t="shared" si="1"/>
        <v>0</v>
      </c>
      <c r="I14" s="46">
        <f t="shared" si="1"/>
        <v>0</v>
      </c>
      <c r="J14" s="46">
        <f t="shared" si="1"/>
        <v>0</v>
      </c>
      <c r="K14" s="46">
        <f t="shared" si="1"/>
        <v>0</v>
      </c>
      <c r="L14" s="46">
        <f t="shared" si="1"/>
        <v>0</v>
      </c>
      <c r="M14" s="46">
        <f t="shared" si="1"/>
        <v>0</v>
      </c>
      <c r="N14" s="46">
        <f t="shared" si="1"/>
        <v>0</v>
      </c>
      <c r="O14" s="46">
        <f t="shared" si="1"/>
        <v>0</v>
      </c>
      <c r="P14" s="46">
        <f t="shared" si="1"/>
        <v>75</v>
      </c>
      <c r="Q14" s="32"/>
      <c r="R14" s="12"/>
      <c r="V14" s="15"/>
    </row>
    <row r="15" spans="2:22" ht="15" x14ac:dyDescent="0.25">
      <c r="C15" s="19"/>
      <c r="D15" s="63"/>
      <c r="E15" s="63"/>
      <c r="F15" s="63"/>
      <c r="G15" s="63"/>
      <c r="H15" s="63"/>
      <c r="I15" s="63"/>
      <c r="J15" s="63"/>
      <c r="K15" s="63"/>
      <c r="L15" s="63"/>
      <c r="M15" s="63"/>
      <c r="N15" s="63"/>
      <c r="O15" s="63"/>
      <c r="P15" s="63"/>
      <c r="Q15" s="43"/>
      <c r="R15" s="12"/>
    </row>
    <row r="16" spans="2:22" s="1" customFormat="1" ht="15" x14ac:dyDescent="0.25">
      <c r="C16" s="64" t="s">
        <v>35</v>
      </c>
      <c r="D16" s="80">
        <v>890</v>
      </c>
      <c r="E16" s="84">
        <f>D17</f>
        <v>1061.7329999999999</v>
      </c>
      <c r="F16" s="84">
        <f t="shared" ref="F16:O16" si="2">E17</f>
        <v>1156.4659999999999</v>
      </c>
      <c r="G16" s="84">
        <f t="shared" si="2"/>
        <v>1239.1989999999998</v>
      </c>
      <c r="H16" s="84">
        <f t="shared" si="2"/>
        <v>1320.9319999999998</v>
      </c>
      <c r="I16" s="84">
        <f t="shared" si="2"/>
        <v>1415.6649999999997</v>
      </c>
      <c r="J16" s="84">
        <f t="shared" si="2"/>
        <v>1508.3979999999997</v>
      </c>
      <c r="K16" s="84">
        <f t="shared" si="2"/>
        <v>1597.1309999999996</v>
      </c>
      <c r="L16" s="84">
        <f t="shared" si="2"/>
        <v>1691.8639999999996</v>
      </c>
      <c r="M16" s="84">
        <f t="shared" si="2"/>
        <v>1800.5969999999995</v>
      </c>
      <c r="N16" s="84">
        <f t="shared" si="2"/>
        <v>1877.3299999999995</v>
      </c>
      <c r="O16" s="84">
        <f t="shared" si="2"/>
        <v>1969.0629999999994</v>
      </c>
      <c r="P16" s="84">
        <f>O17</f>
        <v>2060.7959999999994</v>
      </c>
      <c r="Q16" s="4"/>
    </row>
    <row r="17" spans="2:18" s="1" customFormat="1" ht="15" x14ac:dyDescent="0.25">
      <c r="B17" s="39"/>
      <c r="C17" s="40" t="s">
        <v>36</v>
      </c>
      <c r="D17" s="40">
        <f t="shared" ref="D17:O17" si="3">D8+D14+D16</f>
        <v>1061.7329999999999</v>
      </c>
      <c r="E17" s="40">
        <f t="shared" si="3"/>
        <v>1156.4659999999999</v>
      </c>
      <c r="F17" s="40">
        <f t="shared" si="3"/>
        <v>1239.1989999999998</v>
      </c>
      <c r="G17" s="40">
        <f t="shared" si="3"/>
        <v>1320.9319999999998</v>
      </c>
      <c r="H17" s="40">
        <f t="shared" si="3"/>
        <v>1415.6649999999997</v>
      </c>
      <c r="I17" s="40">
        <f t="shared" si="3"/>
        <v>1508.3979999999997</v>
      </c>
      <c r="J17" s="40">
        <f t="shared" si="3"/>
        <v>1597.1309999999996</v>
      </c>
      <c r="K17" s="40">
        <f t="shared" si="3"/>
        <v>1691.8639999999996</v>
      </c>
      <c r="L17" s="40">
        <f t="shared" si="3"/>
        <v>1800.5969999999995</v>
      </c>
      <c r="M17" s="40">
        <f t="shared" si="3"/>
        <v>1877.3299999999995</v>
      </c>
      <c r="N17" s="40">
        <f t="shared" si="3"/>
        <v>1969.0629999999994</v>
      </c>
      <c r="O17" s="40">
        <f t="shared" si="3"/>
        <v>2060.7959999999994</v>
      </c>
      <c r="P17" s="40">
        <f>P16</f>
        <v>2060.7959999999994</v>
      </c>
      <c r="Q17" s="39"/>
    </row>
    <row r="18" spans="2:18" x14ac:dyDescent="0.2">
      <c r="C18" s="65"/>
      <c r="D18" s="66"/>
      <c r="E18" s="66"/>
      <c r="F18" s="67"/>
      <c r="G18" s="14"/>
      <c r="H18" s="14"/>
      <c r="I18" s="14"/>
      <c r="J18" s="14"/>
      <c r="K18" s="14"/>
      <c r="L18" s="14"/>
      <c r="M18" s="14"/>
      <c r="N18" s="14"/>
      <c r="O18" s="14"/>
      <c r="P18" s="12"/>
      <c r="Q18" s="12"/>
      <c r="R18" s="12"/>
    </row>
    <row r="19" spans="2:18" hidden="1" x14ac:dyDescent="0.2">
      <c r="C19" s="65"/>
      <c r="D19" s="66"/>
      <c r="E19" s="66"/>
      <c r="F19" s="66"/>
      <c r="G19" s="66"/>
      <c r="H19" s="66"/>
      <c r="I19" s="66"/>
      <c r="J19" s="66"/>
      <c r="K19" s="66"/>
      <c r="L19" s="66"/>
      <c r="M19" s="66"/>
      <c r="N19" s="66"/>
      <c r="O19" s="66"/>
      <c r="P19" s="12"/>
      <c r="Q19" s="12"/>
      <c r="R19" s="12"/>
    </row>
    <row r="20" spans="2:18" hidden="1" x14ac:dyDescent="0.2">
      <c r="C20" s="65"/>
      <c r="D20" s="68"/>
      <c r="E20" s="69"/>
      <c r="F20" s="69"/>
      <c r="G20" s="69"/>
      <c r="H20" s="69"/>
      <c r="I20" s="69"/>
      <c r="J20" s="69"/>
      <c r="K20" s="69"/>
      <c r="L20" s="69"/>
      <c r="M20" s="69"/>
      <c r="N20" s="70"/>
      <c r="O20" s="71"/>
      <c r="P20" s="72"/>
      <c r="Q20" s="12"/>
      <c r="R20" s="12"/>
    </row>
    <row r="21" spans="2:18" hidden="1" x14ac:dyDescent="0.2">
      <c r="C21" s="65"/>
      <c r="D21" s="66"/>
      <c r="E21" s="66"/>
      <c r="F21" s="67"/>
      <c r="G21" s="14"/>
      <c r="H21" s="14"/>
      <c r="I21" s="14"/>
      <c r="J21" s="14"/>
      <c r="K21" s="14"/>
      <c r="L21" s="14"/>
      <c r="M21" s="14"/>
      <c r="N21" s="14"/>
      <c r="O21" s="14"/>
      <c r="P21" s="12"/>
      <c r="Q21" s="12"/>
      <c r="R21" s="12"/>
    </row>
    <row r="22" spans="2:18" hidden="1" x14ac:dyDescent="0.2">
      <c r="C22" s="65"/>
      <c r="D22" s="66"/>
      <c r="E22" s="66"/>
      <c r="F22" s="66"/>
      <c r="G22" s="66"/>
      <c r="H22" s="66"/>
      <c r="I22" s="66"/>
      <c r="J22" s="66"/>
      <c r="K22" s="66"/>
      <c r="L22" s="66"/>
      <c r="M22" s="66"/>
      <c r="N22" s="66"/>
      <c r="O22" s="66"/>
      <c r="P22" s="12"/>
      <c r="Q22" s="12"/>
      <c r="R22" s="12"/>
    </row>
    <row r="23" spans="2:18" hidden="1" x14ac:dyDescent="0.2">
      <c r="C23" s="65"/>
      <c r="D23" s="68"/>
      <c r="E23" s="69"/>
      <c r="F23" s="69"/>
      <c r="G23" s="69"/>
      <c r="H23" s="69"/>
      <c r="I23" s="69"/>
      <c r="J23" s="69"/>
      <c r="K23" s="69"/>
      <c r="L23" s="69"/>
      <c r="M23" s="69"/>
      <c r="N23" s="70"/>
      <c r="O23" s="71"/>
      <c r="P23" s="12"/>
      <c r="Q23" s="12"/>
      <c r="R23" s="12"/>
    </row>
    <row r="24" spans="2:18" hidden="1" x14ac:dyDescent="0.2">
      <c r="C24" s="65"/>
      <c r="D24" s="66"/>
      <c r="E24" s="66"/>
      <c r="F24" s="67"/>
      <c r="G24" s="14"/>
      <c r="H24" s="14"/>
      <c r="I24" s="14"/>
      <c r="J24" s="14"/>
      <c r="K24" s="14"/>
      <c r="L24" s="14"/>
      <c r="M24" s="14"/>
      <c r="N24" s="14"/>
      <c r="O24" s="14"/>
      <c r="P24" s="12"/>
      <c r="Q24" s="12"/>
      <c r="R24" s="12"/>
    </row>
    <row r="25" spans="2:18" ht="15" x14ac:dyDescent="0.25">
      <c r="C25" s="8" t="s">
        <v>100</v>
      </c>
      <c r="D25" s="66"/>
      <c r="E25" s="66"/>
      <c r="F25" s="67"/>
      <c r="G25" s="14"/>
      <c r="H25" s="14"/>
      <c r="I25" s="14"/>
      <c r="J25" s="14"/>
      <c r="K25" s="14"/>
      <c r="L25" s="14"/>
      <c r="M25" s="14"/>
      <c r="N25" s="14"/>
      <c r="O25" s="14"/>
      <c r="P25" s="12"/>
      <c r="Q25" s="12"/>
      <c r="R25" s="12"/>
    </row>
    <row r="26" spans="2:18" ht="27.6" customHeight="1" x14ac:dyDescent="0.25">
      <c r="B26" s="30"/>
      <c r="C26" s="58" t="s">
        <v>45</v>
      </c>
      <c r="D26" s="59" t="s">
        <v>19</v>
      </c>
      <c r="E26" s="59" t="s">
        <v>20</v>
      </c>
      <c r="F26" s="59" t="s">
        <v>21</v>
      </c>
      <c r="G26" s="59" t="s">
        <v>22</v>
      </c>
      <c r="H26" s="59" t="s">
        <v>23</v>
      </c>
      <c r="I26" s="59" t="s">
        <v>24</v>
      </c>
      <c r="J26" s="59" t="s">
        <v>25</v>
      </c>
      <c r="K26" s="59" t="s">
        <v>26</v>
      </c>
      <c r="L26" s="59" t="s">
        <v>27</v>
      </c>
      <c r="M26" s="59" t="s">
        <v>28</v>
      </c>
      <c r="N26" s="59" t="s">
        <v>29</v>
      </c>
      <c r="O26" s="59" t="s">
        <v>30</v>
      </c>
      <c r="P26" s="59" t="s">
        <v>31</v>
      </c>
      <c r="Q26" s="30"/>
      <c r="R26" s="12"/>
    </row>
    <row r="27" spans="2:18" x14ac:dyDescent="0.2">
      <c r="C27" s="73" t="s">
        <v>37</v>
      </c>
      <c r="D27" s="74">
        <f>Budsjett!D13</f>
        <v>270</v>
      </c>
      <c r="E27" s="74">
        <f>Budsjett!E13</f>
        <v>270</v>
      </c>
      <c r="F27" s="74">
        <f>Budsjett!F13</f>
        <v>270</v>
      </c>
      <c r="G27" s="74">
        <f>Budsjett!G13</f>
        <v>270</v>
      </c>
      <c r="H27" s="74">
        <f>Budsjett!H13</f>
        <v>270</v>
      </c>
      <c r="I27" s="74">
        <f>Budsjett!I13</f>
        <v>270</v>
      </c>
      <c r="J27" s="74">
        <f>Budsjett!J13</f>
        <v>270</v>
      </c>
      <c r="K27" s="74">
        <f>Budsjett!K13</f>
        <v>270</v>
      </c>
      <c r="L27" s="74">
        <f>Budsjett!L13</f>
        <v>270</v>
      </c>
      <c r="M27" s="74">
        <f>Budsjett!M13</f>
        <v>270</v>
      </c>
      <c r="N27" s="74">
        <f>Budsjett!N13</f>
        <v>270</v>
      </c>
      <c r="O27" s="74">
        <f>Budsjett!O13</f>
        <v>270</v>
      </c>
      <c r="P27" s="16">
        <f>SUM(D27:O27)</f>
        <v>3240</v>
      </c>
      <c r="Q27" s="12"/>
      <c r="R27" s="12"/>
    </row>
    <row r="28" spans="2:18" x14ac:dyDescent="0.2">
      <c r="C28" s="73" t="s">
        <v>38</v>
      </c>
      <c r="D28" s="74">
        <f>Budsjett!D28</f>
        <v>40.5</v>
      </c>
      <c r="E28" s="74">
        <f>Budsjett!E28</f>
        <v>40.5</v>
      </c>
      <c r="F28" s="74">
        <f>Budsjett!F28</f>
        <v>40.5</v>
      </c>
      <c r="G28" s="74">
        <f>Budsjett!G28</f>
        <v>40.5</v>
      </c>
      <c r="H28" s="74">
        <f>Budsjett!H28</f>
        <v>40.5</v>
      </c>
      <c r="I28" s="74">
        <f>Budsjett!I28</f>
        <v>40.5</v>
      </c>
      <c r="J28" s="74">
        <f>Budsjett!J28</f>
        <v>40.5</v>
      </c>
      <c r="K28" s="74">
        <f>Budsjett!K28</f>
        <v>40.5</v>
      </c>
      <c r="L28" s="74">
        <f>Budsjett!L28</f>
        <v>40.5</v>
      </c>
      <c r="M28" s="74">
        <f>Budsjett!M28</f>
        <v>40.5</v>
      </c>
      <c r="N28" s="74">
        <f>Budsjett!N28</f>
        <v>40.5</v>
      </c>
      <c r="O28" s="74">
        <f>Budsjett!O28</f>
        <v>40.5</v>
      </c>
      <c r="P28" s="16">
        <f>SUM(D28:O28)</f>
        <v>486</v>
      </c>
      <c r="Q28" s="12"/>
      <c r="R28" s="12"/>
    </row>
    <row r="29" spans="2:18" ht="15" x14ac:dyDescent="0.25">
      <c r="B29" s="37"/>
      <c r="C29" s="75" t="s">
        <v>39</v>
      </c>
      <c r="D29" s="76">
        <f>D27-D28</f>
        <v>229.5</v>
      </c>
      <c r="E29" s="76">
        <f t="shared" ref="E29:O29" si="4">E27-E28</f>
        <v>229.5</v>
      </c>
      <c r="F29" s="76">
        <f t="shared" si="4"/>
        <v>229.5</v>
      </c>
      <c r="G29" s="76">
        <f t="shared" si="4"/>
        <v>229.5</v>
      </c>
      <c r="H29" s="76">
        <f t="shared" si="4"/>
        <v>229.5</v>
      </c>
      <c r="I29" s="76">
        <f t="shared" si="4"/>
        <v>229.5</v>
      </c>
      <c r="J29" s="76">
        <f t="shared" si="4"/>
        <v>229.5</v>
      </c>
      <c r="K29" s="76">
        <f t="shared" si="4"/>
        <v>229.5</v>
      </c>
      <c r="L29" s="76">
        <f t="shared" si="4"/>
        <v>229.5</v>
      </c>
      <c r="M29" s="76">
        <f t="shared" si="4"/>
        <v>229.5</v>
      </c>
      <c r="N29" s="76">
        <f t="shared" si="4"/>
        <v>229.5</v>
      </c>
      <c r="O29" s="76">
        <f t="shared" si="4"/>
        <v>229.5</v>
      </c>
      <c r="P29" s="32">
        <f t="shared" ref="P29:P35" si="5">SUM(D29:O29)</f>
        <v>2754</v>
      </c>
      <c r="Q29" s="32"/>
      <c r="R29" s="12"/>
    </row>
    <row r="30" spans="2:18" ht="15" x14ac:dyDescent="0.25">
      <c r="B30" s="37"/>
      <c r="C30" s="75" t="s">
        <v>40</v>
      </c>
      <c r="D30" s="77">
        <f>IFERROR(D29/D27,0)</f>
        <v>0.85</v>
      </c>
      <c r="E30" s="77">
        <f t="shared" ref="E30:O30" si="6">IFERROR(E29/E27,0)</f>
        <v>0.85</v>
      </c>
      <c r="F30" s="77">
        <f t="shared" si="6"/>
        <v>0.85</v>
      </c>
      <c r="G30" s="77">
        <f t="shared" si="6"/>
        <v>0.85</v>
      </c>
      <c r="H30" s="77">
        <f t="shared" si="6"/>
        <v>0.85</v>
      </c>
      <c r="I30" s="77">
        <f t="shared" si="6"/>
        <v>0.85</v>
      </c>
      <c r="J30" s="77">
        <f t="shared" si="6"/>
        <v>0.85</v>
      </c>
      <c r="K30" s="77">
        <f t="shared" si="6"/>
        <v>0.85</v>
      </c>
      <c r="L30" s="77">
        <f t="shared" si="6"/>
        <v>0.85</v>
      </c>
      <c r="M30" s="77">
        <f t="shared" si="6"/>
        <v>0.85</v>
      </c>
      <c r="N30" s="77">
        <f t="shared" si="6"/>
        <v>0.85</v>
      </c>
      <c r="O30" s="77">
        <f t="shared" si="6"/>
        <v>0.85</v>
      </c>
      <c r="P30" s="77">
        <f>IFERROR(P29/P27,0)</f>
        <v>0.85</v>
      </c>
      <c r="Q30" s="32"/>
      <c r="R30" s="12"/>
    </row>
    <row r="31" spans="2:18" x14ac:dyDescent="0.2">
      <c r="C31" s="73" t="s">
        <v>41</v>
      </c>
      <c r="D31" s="74">
        <f>Budsjett!D49</f>
        <v>97.76700000000001</v>
      </c>
      <c r="E31" s="74">
        <f>Budsjett!E49</f>
        <v>97.76700000000001</v>
      </c>
      <c r="F31" s="74">
        <f>Budsjett!F49</f>
        <v>97.76700000000001</v>
      </c>
      <c r="G31" s="74">
        <f>Budsjett!G49</f>
        <v>97.76700000000001</v>
      </c>
      <c r="H31" s="74">
        <f>Budsjett!H49</f>
        <v>97.76700000000001</v>
      </c>
      <c r="I31" s="74">
        <f>Budsjett!I49</f>
        <v>97.76700000000001</v>
      </c>
      <c r="J31" s="74">
        <f>Budsjett!J49</f>
        <v>97.76700000000001</v>
      </c>
      <c r="K31" s="74">
        <f>Budsjett!K49</f>
        <v>97.76700000000001</v>
      </c>
      <c r="L31" s="74">
        <f>Budsjett!L49</f>
        <v>97.76700000000001</v>
      </c>
      <c r="M31" s="74">
        <f>Budsjett!M49</f>
        <v>97.76700000000001</v>
      </c>
      <c r="N31" s="74">
        <f>Budsjett!N49</f>
        <v>97.76700000000001</v>
      </c>
      <c r="O31" s="74">
        <f>Budsjett!O49</f>
        <v>97.76700000000001</v>
      </c>
      <c r="P31" s="16">
        <f t="shared" si="5"/>
        <v>1173.2040000000004</v>
      </c>
      <c r="Q31" s="12"/>
      <c r="R31" s="12"/>
    </row>
    <row r="32" spans="2:18" x14ac:dyDescent="0.2">
      <c r="C32" s="73" t="s">
        <v>42</v>
      </c>
      <c r="D32" s="74">
        <f>Budsjett!D83+Budsjett!D110</f>
        <v>35</v>
      </c>
      <c r="E32" s="74">
        <f>Budsjett!E83+Budsjett!E110</f>
        <v>37</v>
      </c>
      <c r="F32" s="74">
        <f>Budsjett!F83+Budsjett!F110</f>
        <v>50</v>
      </c>
      <c r="G32" s="74">
        <f>Budsjett!G83+Budsjett!G110</f>
        <v>50</v>
      </c>
      <c r="H32" s="74">
        <f>Budsjett!H83+Budsjett!H110</f>
        <v>37</v>
      </c>
      <c r="I32" s="74">
        <f>Budsjett!I83+Budsjett!I110</f>
        <v>40</v>
      </c>
      <c r="J32" s="74">
        <f>Budsjett!J83+Budsjett!J110</f>
        <v>43</v>
      </c>
      <c r="K32" s="74">
        <f>Budsjett!K83+Budsjett!K110</f>
        <v>37</v>
      </c>
      <c r="L32" s="74">
        <f>Budsjett!L83+Budsjett!L110</f>
        <v>38</v>
      </c>
      <c r="M32" s="74">
        <f>Budsjett!M83+Budsjett!M110</f>
        <v>55</v>
      </c>
      <c r="N32" s="74">
        <f>Budsjett!N83+Budsjett!N110</f>
        <v>43</v>
      </c>
      <c r="O32" s="74">
        <f>Budsjett!O83+Budsjett!O110</f>
        <v>40</v>
      </c>
      <c r="P32" s="16">
        <f>SUM(D32:O32)</f>
        <v>505</v>
      </c>
      <c r="Q32" s="12"/>
      <c r="R32" s="12"/>
    </row>
    <row r="33" spans="2:18" x14ac:dyDescent="0.2">
      <c r="C33" s="73" t="s">
        <v>14</v>
      </c>
      <c r="D33" s="74">
        <f>Budsjett!D52</f>
        <v>3</v>
      </c>
      <c r="E33" s="74">
        <f>Budsjett!E52</f>
        <v>3</v>
      </c>
      <c r="F33" s="74">
        <f>Budsjett!F52</f>
        <v>3</v>
      </c>
      <c r="G33" s="74">
        <f>Budsjett!G52</f>
        <v>3</v>
      </c>
      <c r="H33" s="74">
        <f>Budsjett!H52</f>
        <v>3</v>
      </c>
      <c r="I33" s="74">
        <f>Budsjett!I52</f>
        <v>3</v>
      </c>
      <c r="J33" s="74">
        <f>Budsjett!J52</f>
        <v>3</v>
      </c>
      <c r="K33" s="74">
        <f>Budsjett!K52</f>
        <v>3</v>
      </c>
      <c r="L33" s="74">
        <f>Budsjett!L52</f>
        <v>3</v>
      </c>
      <c r="M33" s="74">
        <f>Budsjett!M52</f>
        <v>3</v>
      </c>
      <c r="N33" s="74">
        <f>Budsjett!N52</f>
        <v>3</v>
      </c>
      <c r="O33" s="74">
        <f>Budsjett!O52</f>
        <v>3</v>
      </c>
      <c r="P33" s="16">
        <f t="shared" si="5"/>
        <v>36</v>
      </c>
      <c r="Q33" s="12"/>
      <c r="R33" s="12"/>
    </row>
    <row r="34" spans="2:18" ht="15" x14ac:dyDescent="0.25">
      <c r="B34" s="37"/>
      <c r="C34" s="76" t="s">
        <v>4</v>
      </c>
      <c r="D34" s="78">
        <f>D27-D28-D31-D32</f>
        <v>96.733000000000004</v>
      </c>
      <c r="E34" s="78">
        <f t="shared" ref="E34:O34" si="7">E27-E28-E31-E32</f>
        <v>94.733000000000004</v>
      </c>
      <c r="F34" s="78">
        <f t="shared" si="7"/>
        <v>81.733000000000004</v>
      </c>
      <c r="G34" s="78">
        <f t="shared" si="7"/>
        <v>81.733000000000004</v>
      </c>
      <c r="H34" s="78">
        <f t="shared" si="7"/>
        <v>94.733000000000004</v>
      </c>
      <c r="I34" s="78">
        <f t="shared" si="7"/>
        <v>91.733000000000004</v>
      </c>
      <c r="J34" s="78">
        <f t="shared" si="7"/>
        <v>88.733000000000004</v>
      </c>
      <c r="K34" s="78">
        <f t="shared" si="7"/>
        <v>94.733000000000004</v>
      </c>
      <c r="L34" s="78">
        <f t="shared" si="7"/>
        <v>93.733000000000004</v>
      </c>
      <c r="M34" s="78">
        <f t="shared" si="7"/>
        <v>76.733000000000004</v>
      </c>
      <c r="N34" s="78">
        <f t="shared" si="7"/>
        <v>88.733000000000004</v>
      </c>
      <c r="O34" s="78">
        <f t="shared" si="7"/>
        <v>91.733000000000004</v>
      </c>
      <c r="P34" s="32">
        <f>SUM(D34:O34)</f>
        <v>1075.7959999999998</v>
      </c>
      <c r="Q34" s="32"/>
      <c r="R34" s="12"/>
    </row>
    <row r="35" spans="2:18" x14ac:dyDescent="0.2">
      <c r="C35" s="73" t="s">
        <v>43</v>
      </c>
      <c r="D35" s="74">
        <f>Budsjett!D117</f>
        <v>0</v>
      </c>
      <c r="E35" s="74">
        <f>Budsjett!E117</f>
        <v>0</v>
      </c>
      <c r="F35" s="74">
        <f>Budsjett!F117</f>
        <v>-1</v>
      </c>
      <c r="G35" s="74">
        <f>Budsjett!G117</f>
        <v>0</v>
      </c>
      <c r="H35" s="74">
        <f>Budsjett!H117</f>
        <v>0</v>
      </c>
      <c r="I35" s="74">
        <f>Budsjett!I117</f>
        <v>-1</v>
      </c>
      <c r="J35" s="74">
        <f>Budsjett!J117</f>
        <v>0</v>
      </c>
      <c r="K35" s="74">
        <f>Budsjett!K117</f>
        <v>0</v>
      </c>
      <c r="L35" s="74">
        <f>Budsjett!L117</f>
        <v>-15</v>
      </c>
      <c r="M35" s="74">
        <f>Budsjett!M117</f>
        <v>0</v>
      </c>
      <c r="N35" s="74">
        <f>Budsjett!N117</f>
        <v>-3</v>
      </c>
      <c r="O35" s="74">
        <f>Budsjett!O117</f>
        <v>0</v>
      </c>
      <c r="P35" s="16">
        <f t="shared" si="5"/>
        <v>-20</v>
      </c>
      <c r="Q35" s="12"/>
      <c r="R35" s="12"/>
    </row>
    <row r="36" spans="2:18" ht="15" x14ac:dyDescent="0.25">
      <c r="B36" s="38"/>
      <c r="C36" s="40" t="s">
        <v>17</v>
      </c>
      <c r="D36" s="79">
        <f>D34-D35</f>
        <v>96.733000000000004</v>
      </c>
      <c r="E36" s="79">
        <f t="shared" ref="E36:O36" si="8">E34+E35</f>
        <v>94.733000000000004</v>
      </c>
      <c r="F36" s="79">
        <f t="shared" si="8"/>
        <v>80.733000000000004</v>
      </c>
      <c r="G36" s="79">
        <f t="shared" si="8"/>
        <v>81.733000000000004</v>
      </c>
      <c r="H36" s="79">
        <f t="shared" si="8"/>
        <v>94.733000000000004</v>
      </c>
      <c r="I36" s="79">
        <f t="shared" si="8"/>
        <v>90.733000000000004</v>
      </c>
      <c r="J36" s="79">
        <f t="shared" si="8"/>
        <v>88.733000000000004</v>
      </c>
      <c r="K36" s="79">
        <f t="shared" si="8"/>
        <v>94.733000000000004</v>
      </c>
      <c r="L36" s="79">
        <f t="shared" si="8"/>
        <v>78.733000000000004</v>
      </c>
      <c r="M36" s="79">
        <f t="shared" si="8"/>
        <v>76.733000000000004</v>
      </c>
      <c r="N36" s="79">
        <f t="shared" si="8"/>
        <v>85.733000000000004</v>
      </c>
      <c r="O36" s="79">
        <f t="shared" si="8"/>
        <v>91.733000000000004</v>
      </c>
      <c r="P36" s="79">
        <f>P34+P35</f>
        <v>1055.7959999999998</v>
      </c>
      <c r="Q36" s="33"/>
      <c r="R36" s="12"/>
    </row>
    <row r="37" spans="2:18" x14ac:dyDescent="0.2">
      <c r="C37" s="9"/>
      <c r="D37" s="6"/>
      <c r="E37" s="6"/>
      <c r="F37" s="6"/>
      <c r="G37" s="6"/>
      <c r="H37" s="6"/>
      <c r="I37" s="6"/>
      <c r="J37" s="6"/>
      <c r="K37" s="6"/>
      <c r="L37" s="6"/>
      <c r="M37" s="6"/>
      <c r="N37" s="6"/>
      <c r="O37" s="6"/>
      <c r="P37" s="6"/>
    </row>
    <row r="38" spans="2:18" x14ac:dyDescent="0.2">
      <c r="C38" s="10"/>
      <c r="D38" s="7"/>
      <c r="E38" s="7"/>
      <c r="F38" s="7"/>
      <c r="G38" s="7"/>
      <c r="H38" s="7"/>
      <c r="I38" s="7"/>
      <c r="J38" s="7"/>
      <c r="K38" s="7"/>
      <c r="L38" s="7"/>
      <c r="M38" s="7"/>
      <c r="N38" s="7"/>
      <c r="O38" s="7"/>
      <c r="P38" s="7"/>
    </row>
    <row r="73" spans="1:15" hidden="1" x14ac:dyDescent="0.2">
      <c r="A73" s="85"/>
      <c r="C73" t="str">
        <f>C27</f>
        <v>Driftsinntekter</v>
      </c>
      <c r="D73" s="57" t="e">
        <f>IF($A73,D27,NA())</f>
        <v>#N/A</v>
      </c>
      <c r="E73" s="57" t="e">
        <f t="shared" ref="E73:O73" si="9">IF($A73,E27,NA())</f>
        <v>#N/A</v>
      </c>
      <c r="F73" s="57" t="e">
        <f t="shared" si="9"/>
        <v>#N/A</v>
      </c>
      <c r="G73" s="57" t="e">
        <f t="shared" si="9"/>
        <v>#N/A</v>
      </c>
      <c r="H73" s="57" t="e">
        <f t="shared" si="9"/>
        <v>#N/A</v>
      </c>
      <c r="I73" s="57" t="e">
        <f t="shared" si="9"/>
        <v>#N/A</v>
      </c>
      <c r="J73" s="57" t="e">
        <f t="shared" si="9"/>
        <v>#N/A</v>
      </c>
      <c r="K73" s="57" t="e">
        <f t="shared" si="9"/>
        <v>#N/A</v>
      </c>
      <c r="L73" s="57" t="e">
        <f t="shared" si="9"/>
        <v>#N/A</v>
      </c>
      <c r="M73" s="57" t="e">
        <f t="shared" si="9"/>
        <v>#N/A</v>
      </c>
      <c r="N73" s="57" t="e">
        <f t="shared" si="9"/>
        <v>#N/A</v>
      </c>
      <c r="O73" s="57" t="e">
        <f t="shared" si="9"/>
        <v>#N/A</v>
      </c>
    </row>
    <row r="74" spans="1:15" hidden="1" x14ac:dyDescent="0.2">
      <c r="A74" s="85"/>
      <c r="C74" t="str">
        <f t="shared" ref="C74:C82" si="10">C28</f>
        <v>Varekost</v>
      </c>
      <c r="D74" s="57" t="e">
        <f t="shared" ref="D74:O74" si="11">IF($A74,D28,NA())</f>
        <v>#N/A</v>
      </c>
      <c r="E74" s="57" t="e">
        <f t="shared" si="11"/>
        <v>#N/A</v>
      </c>
      <c r="F74" s="57" t="e">
        <f t="shared" si="11"/>
        <v>#N/A</v>
      </c>
      <c r="G74" s="57" t="e">
        <f t="shared" si="11"/>
        <v>#N/A</v>
      </c>
      <c r="H74" s="57" t="e">
        <f t="shared" si="11"/>
        <v>#N/A</v>
      </c>
      <c r="I74" s="57" t="e">
        <f t="shared" si="11"/>
        <v>#N/A</v>
      </c>
      <c r="J74" s="57" t="e">
        <f t="shared" si="11"/>
        <v>#N/A</v>
      </c>
      <c r="K74" s="57" t="e">
        <f t="shared" si="11"/>
        <v>#N/A</v>
      </c>
      <c r="L74" s="57" t="e">
        <f t="shared" si="11"/>
        <v>#N/A</v>
      </c>
      <c r="M74" s="57" t="e">
        <f t="shared" si="11"/>
        <v>#N/A</v>
      </c>
      <c r="N74" s="57" t="e">
        <f t="shared" si="11"/>
        <v>#N/A</v>
      </c>
      <c r="O74" s="57" t="e">
        <f t="shared" si="11"/>
        <v>#N/A</v>
      </c>
    </row>
    <row r="75" spans="1:15" hidden="1" x14ac:dyDescent="0.2">
      <c r="A75" s="85"/>
      <c r="C75" t="str">
        <f t="shared" si="10"/>
        <v>DBI</v>
      </c>
      <c r="D75" s="57" t="e">
        <f t="shared" ref="D75:O75" si="12">IF($A75,D29,NA())</f>
        <v>#N/A</v>
      </c>
      <c r="E75" s="57" t="e">
        <f t="shared" si="12"/>
        <v>#N/A</v>
      </c>
      <c r="F75" s="57" t="e">
        <f t="shared" si="12"/>
        <v>#N/A</v>
      </c>
      <c r="G75" s="57" t="e">
        <f t="shared" si="12"/>
        <v>#N/A</v>
      </c>
      <c r="H75" s="57" t="e">
        <f t="shared" si="12"/>
        <v>#N/A</v>
      </c>
      <c r="I75" s="57" t="e">
        <f t="shared" si="12"/>
        <v>#N/A</v>
      </c>
      <c r="J75" s="57" t="e">
        <f t="shared" si="12"/>
        <v>#N/A</v>
      </c>
      <c r="K75" s="57" t="e">
        <f t="shared" si="12"/>
        <v>#N/A</v>
      </c>
      <c r="L75" s="57" t="e">
        <f t="shared" si="12"/>
        <v>#N/A</v>
      </c>
      <c r="M75" s="57" t="e">
        <f t="shared" si="12"/>
        <v>#N/A</v>
      </c>
      <c r="N75" s="57" t="e">
        <f t="shared" si="12"/>
        <v>#N/A</v>
      </c>
      <c r="O75" s="57" t="e">
        <f t="shared" si="12"/>
        <v>#N/A</v>
      </c>
    </row>
    <row r="76" spans="1:15" hidden="1" x14ac:dyDescent="0.2">
      <c r="A76" s="85"/>
      <c r="C76" t="str">
        <f t="shared" si="10"/>
        <v>DG%</v>
      </c>
      <c r="D76" s="57" t="e">
        <f t="shared" ref="D76:O76" si="13">IF($A76,D30,NA())</f>
        <v>#N/A</v>
      </c>
      <c r="E76" s="57" t="e">
        <f t="shared" si="13"/>
        <v>#N/A</v>
      </c>
      <c r="F76" s="57" t="e">
        <f t="shared" si="13"/>
        <v>#N/A</v>
      </c>
      <c r="G76" s="57" t="e">
        <f t="shared" si="13"/>
        <v>#N/A</v>
      </c>
      <c r="H76" s="57" t="e">
        <f t="shared" si="13"/>
        <v>#N/A</v>
      </c>
      <c r="I76" s="57" t="e">
        <f t="shared" si="13"/>
        <v>#N/A</v>
      </c>
      <c r="J76" s="57" t="e">
        <f t="shared" si="13"/>
        <v>#N/A</v>
      </c>
      <c r="K76" s="57" t="e">
        <f t="shared" si="13"/>
        <v>#N/A</v>
      </c>
      <c r="L76" s="57" t="e">
        <f t="shared" si="13"/>
        <v>#N/A</v>
      </c>
      <c r="M76" s="57" t="e">
        <f t="shared" si="13"/>
        <v>#N/A</v>
      </c>
      <c r="N76" s="57" t="e">
        <f t="shared" si="13"/>
        <v>#N/A</v>
      </c>
      <c r="O76" s="57" t="e">
        <f t="shared" si="13"/>
        <v>#N/A</v>
      </c>
    </row>
    <row r="77" spans="1:15" hidden="1" x14ac:dyDescent="0.2">
      <c r="A77" s="85"/>
      <c r="C77" t="str">
        <f t="shared" si="10"/>
        <v>Personalkost</v>
      </c>
      <c r="D77" s="57" t="e">
        <f t="shared" ref="D77:O77" si="14">IF($A77,D31,NA())</f>
        <v>#N/A</v>
      </c>
      <c r="E77" s="57" t="e">
        <f t="shared" si="14"/>
        <v>#N/A</v>
      </c>
      <c r="F77" s="57" t="e">
        <f t="shared" si="14"/>
        <v>#N/A</v>
      </c>
      <c r="G77" s="57" t="e">
        <f t="shared" si="14"/>
        <v>#N/A</v>
      </c>
      <c r="H77" s="57" t="e">
        <f t="shared" si="14"/>
        <v>#N/A</v>
      </c>
      <c r="I77" s="57" t="e">
        <f t="shared" si="14"/>
        <v>#N/A</v>
      </c>
      <c r="J77" s="57" t="e">
        <f t="shared" si="14"/>
        <v>#N/A</v>
      </c>
      <c r="K77" s="57" t="e">
        <f t="shared" si="14"/>
        <v>#N/A</v>
      </c>
      <c r="L77" s="57" t="e">
        <f t="shared" si="14"/>
        <v>#N/A</v>
      </c>
      <c r="M77" s="57" t="e">
        <f t="shared" si="14"/>
        <v>#N/A</v>
      </c>
      <c r="N77" s="57" t="e">
        <f t="shared" si="14"/>
        <v>#N/A</v>
      </c>
      <c r="O77" s="57" t="e">
        <f t="shared" si="14"/>
        <v>#N/A</v>
      </c>
    </row>
    <row r="78" spans="1:15" hidden="1" x14ac:dyDescent="0.2">
      <c r="A78" s="85" t="b">
        <v>0</v>
      </c>
      <c r="C78" t="str">
        <f t="shared" si="10"/>
        <v>Andre driftskost</v>
      </c>
      <c r="D78" s="57" t="e">
        <f t="shared" ref="D78:O78" si="15">IF($A78,D32,NA())</f>
        <v>#N/A</v>
      </c>
      <c r="E78" s="57" t="e">
        <f t="shared" si="15"/>
        <v>#N/A</v>
      </c>
      <c r="F78" s="57" t="e">
        <f t="shared" si="15"/>
        <v>#N/A</v>
      </c>
      <c r="G78" s="57" t="e">
        <f t="shared" si="15"/>
        <v>#N/A</v>
      </c>
      <c r="H78" s="57" t="e">
        <f t="shared" si="15"/>
        <v>#N/A</v>
      </c>
      <c r="I78" s="57" t="e">
        <f t="shared" si="15"/>
        <v>#N/A</v>
      </c>
      <c r="J78" s="57" t="e">
        <f t="shared" si="15"/>
        <v>#N/A</v>
      </c>
      <c r="K78" s="57" t="e">
        <f t="shared" si="15"/>
        <v>#N/A</v>
      </c>
      <c r="L78" s="57" t="e">
        <f t="shared" si="15"/>
        <v>#N/A</v>
      </c>
      <c r="M78" s="57" t="e">
        <f t="shared" si="15"/>
        <v>#N/A</v>
      </c>
      <c r="N78" s="57" t="e">
        <f t="shared" si="15"/>
        <v>#N/A</v>
      </c>
      <c r="O78" s="57" t="e">
        <f t="shared" si="15"/>
        <v>#N/A</v>
      </c>
    </row>
    <row r="79" spans="1:15" hidden="1" x14ac:dyDescent="0.2">
      <c r="A79" s="85"/>
      <c r="C79" t="str">
        <f t="shared" si="10"/>
        <v>Avskrivninger</v>
      </c>
      <c r="D79" s="57" t="e">
        <f t="shared" ref="D79:O79" si="16">IF($A79,D33,NA())</f>
        <v>#N/A</v>
      </c>
      <c r="E79" s="57" t="e">
        <f t="shared" si="16"/>
        <v>#N/A</v>
      </c>
      <c r="F79" s="57" t="e">
        <f t="shared" si="16"/>
        <v>#N/A</v>
      </c>
      <c r="G79" s="57" t="e">
        <f t="shared" si="16"/>
        <v>#N/A</v>
      </c>
      <c r="H79" s="57" t="e">
        <f t="shared" si="16"/>
        <v>#N/A</v>
      </c>
      <c r="I79" s="57" t="e">
        <f t="shared" si="16"/>
        <v>#N/A</v>
      </c>
      <c r="J79" s="57" t="e">
        <f t="shared" si="16"/>
        <v>#N/A</v>
      </c>
      <c r="K79" s="57" t="e">
        <f t="shared" si="16"/>
        <v>#N/A</v>
      </c>
      <c r="L79" s="57" t="e">
        <f t="shared" si="16"/>
        <v>#N/A</v>
      </c>
      <c r="M79" s="57" t="e">
        <f t="shared" si="16"/>
        <v>#N/A</v>
      </c>
      <c r="N79" s="57" t="e">
        <f t="shared" si="16"/>
        <v>#N/A</v>
      </c>
      <c r="O79" s="57" t="e">
        <f t="shared" si="16"/>
        <v>#N/A</v>
      </c>
    </row>
    <row r="80" spans="1:15" hidden="1" x14ac:dyDescent="0.2">
      <c r="A80" s="85"/>
      <c r="C80" t="str">
        <f t="shared" si="10"/>
        <v>Driftsresultat</v>
      </c>
      <c r="D80" s="57" t="e">
        <f t="shared" ref="D80:O80" si="17">IF($A80,D34,NA())</f>
        <v>#N/A</v>
      </c>
      <c r="E80" s="57" t="e">
        <f t="shared" si="17"/>
        <v>#N/A</v>
      </c>
      <c r="F80" s="57" t="e">
        <f t="shared" si="17"/>
        <v>#N/A</v>
      </c>
      <c r="G80" s="57" t="e">
        <f t="shared" si="17"/>
        <v>#N/A</v>
      </c>
      <c r="H80" s="57" t="e">
        <f t="shared" si="17"/>
        <v>#N/A</v>
      </c>
      <c r="I80" s="57" t="e">
        <f t="shared" si="17"/>
        <v>#N/A</v>
      </c>
      <c r="J80" s="57" t="e">
        <f t="shared" si="17"/>
        <v>#N/A</v>
      </c>
      <c r="K80" s="57" t="e">
        <f t="shared" si="17"/>
        <v>#N/A</v>
      </c>
      <c r="L80" s="57" t="e">
        <f t="shared" si="17"/>
        <v>#N/A</v>
      </c>
      <c r="M80" s="57" t="e">
        <f t="shared" si="17"/>
        <v>#N/A</v>
      </c>
      <c r="N80" s="57" t="e">
        <f t="shared" si="17"/>
        <v>#N/A</v>
      </c>
      <c r="O80" s="57" t="e">
        <f t="shared" si="17"/>
        <v>#N/A</v>
      </c>
    </row>
    <row r="81" spans="1:15" hidden="1" x14ac:dyDescent="0.2">
      <c r="A81" s="85"/>
      <c r="C81" t="str">
        <f t="shared" si="10"/>
        <v>Netto finans</v>
      </c>
      <c r="D81" s="57" t="e">
        <f t="shared" ref="D81:O81" si="18">IF($A81,D35,NA())</f>
        <v>#N/A</v>
      </c>
      <c r="E81" s="57" t="e">
        <f t="shared" si="18"/>
        <v>#N/A</v>
      </c>
      <c r="F81" s="57" t="e">
        <f t="shared" si="18"/>
        <v>#N/A</v>
      </c>
      <c r="G81" s="57" t="e">
        <f t="shared" si="18"/>
        <v>#N/A</v>
      </c>
      <c r="H81" s="57" t="e">
        <f t="shared" si="18"/>
        <v>#N/A</v>
      </c>
      <c r="I81" s="57" t="e">
        <f t="shared" si="18"/>
        <v>#N/A</v>
      </c>
      <c r="J81" s="57" t="e">
        <f t="shared" si="18"/>
        <v>#N/A</v>
      </c>
      <c r="K81" s="57" t="e">
        <f t="shared" si="18"/>
        <v>#N/A</v>
      </c>
      <c r="L81" s="57" t="e">
        <f t="shared" si="18"/>
        <v>#N/A</v>
      </c>
      <c r="M81" s="57" t="e">
        <f t="shared" si="18"/>
        <v>#N/A</v>
      </c>
      <c r="N81" s="57" t="e">
        <f t="shared" si="18"/>
        <v>#N/A</v>
      </c>
      <c r="O81" s="57" t="e">
        <f t="shared" si="18"/>
        <v>#N/A</v>
      </c>
    </row>
    <row r="82" spans="1:15" hidden="1" x14ac:dyDescent="0.2">
      <c r="A82" s="85"/>
      <c r="C82" t="str">
        <f t="shared" si="10"/>
        <v>Resultat før skatt</v>
      </c>
      <c r="D82" s="57" t="e">
        <f t="shared" ref="D82:O82" si="19">IF($A82,D36,NA())</f>
        <v>#N/A</v>
      </c>
      <c r="E82" s="57" t="e">
        <f t="shared" si="19"/>
        <v>#N/A</v>
      </c>
      <c r="F82" s="57" t="e">
        <f t="shared" si="19"/>
        <v>#N/A</v>
      </c>
      <c r="G82" s="57" t="e">
        <f t="shared" si="19"/>
        <v>#N/A</v>
      </c>
      <c r="H82" s="57" t="e">
        <f t="shared" si="19"/>
        <v>#N/A</v>
      </c>
      <c r="I82" s="57" t="e">
        <f t="shared" si="19"/>
        <v>#N/A</v>
      </c>
      <c r="J82" s="57" t="e">
        <f t="shared" si="19"/>
        <v>#N/A</v>
      </c>
      <c r="K82" s="57" t="e">
        <f t="shared" si="19"/>
        <v>#N/A</v>
      </c>
      <c r="L82" s="57" t="e">
        <f t="shared" si="19"/>
        <v>#N/A</v>
      </c>
      <c r="M82" s="57" t="e">
        <f t="shared" si="19"/>
        <v>#N/A</v>
      </c>
      <c r="N82" s="57" t="e">
        <f t="shared" si="19"/>
        <v>#N/A</v>
      </c>
      <c r="O82" s="57" t="e">
        <f t="shared" si="19"/>
        <v>#N/A</v>
      </c>
    </row>
  </sheetData>
  <conditionalFormatting sqref="D11 E11 F11 G11 H11 I11 J11 K11 L11 M11 N11 O11 D12 E12 F12 G12 H12 I12 J12 K12 L12 M12 N12 O12 D13 E13 F13 G13 H13 I13 J13 K13 L13 M13 N13 O13 D16">
    <cfRule type="expression" dxfId="4" priority="1">
      <formula>Utfyllingsmodus=TRUE</formula>
    </cfRule>
  </conditionalFormatting>
  <pageMargins left="0.70866141732283472" right="0.70866141732283472" top="0.74803149606299213" bottom="0.74803149606299213" header="0.31496062992125984" footer="0.31496062992125984"/>
  <pageSetup paperSize="8" scale="73"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11</xdr:col>
                    <xdr:colOff>476250</xdr:colOff>
                    <xdr:row>69</xdr:row>
                    <xdr:rowOff>95250</xdr:rowOff>
                  </from>
                  <to>
                    <xdr:col>12</xdr:col>
                    <xdr:colOff>552450</xdr:colOff>
                    <xdr:row>70</xdr:row>
                    <xdr:rowOff>133350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11</xdr:col>
                    <xdr:colOff>476250</xdr:colOff>
                    <xdr:row>92</xdr:row>
                    <xdr:rowOff>66675</xdr:rowOff>
                  </from>
                  <to>
                    <xdr:col>12</xdr:col>
                    <xdr:colOff>552450</xdr:colOff>
                    <xdr:row>93</xdr:row>
                    <xdr:rowOff>104775</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11</xdr:col>
                    <xdr:colOff>476250</xdr:colOff>
                    <xdr:row>82</xdr:row>
                    <xdr:rowOff>57150</xdr:rowOff>
                  </from>
                  <to>
                    <xdr:col>12</xdr:col>
                    <xdr:colOff>552450</xdr:colOff>
                    <xdr:row>83</xdr:row>
                    <xdr:rowOff>95250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11</xdr:col>
                    <xdr:colOff>476250</xdr:colOff>
                    <xdr:row>83</xdr:row>
                    <xdr:rowOff>123825</xdr:rowOff>
                  </from>
                  <to>
                    <xdr:col>12</xdr:col>
                    <xdr:colOff>552450</xdr:colOff>
                    <xdr:row>84</xdr:row>
                    <xdr:rowOff>161925</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11</xdr:col>
                    <xdr:colOff>476250</xdr:colOff>
                    <xdr:row>70</xdr:row>
                    <xdr:rowOff>161925</xdr:rowOff>
                  </from>
                  <to>
                    <xdr:col>12</xdr:col>
                    <xdr:colOff>552450</xdr:colOff>
                    <xdr:row>82</xdr:row>
                    <xdr:rowOff>19050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11</xdr:col>
                    <xdr:colOff>476250</xdr:colOff>
                    <xdr:row>85</xdr:row>
                    <xdr:rowOff>47625</xdr:rowOff>
                  </from>
                  <to>
                    <xdr:col>12</xdr:col>
                    <xdr:colOff>552450</xdr:colOff>
                    <xdr:row>86</xdr:row>
                    <xdr:rowOff>85725</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11</xdr:col>
                    <xdr:colOff>476250</xdr:colOff>
                    <xdr:row>86</xdr:row>
                    <xdr:rowOff>123825</xdr:rowOff>
                  </from>
                  <to>
                    <xdr:col>12</xdr:col>
                    <xdr:colOff>552450</xdr:colOff>
                    <xdr:row>87</xdr:row>
                    <xdr:rowOff>161925</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11</xdr:col>
                    <xdr:colOff>476250</xdr:colOff>
                    <xdr:row>88</xdr:row>
                    <xdr:rowOff>19050</xdr:rowOff>
                  </from>
                  <to>
                    <xdr:col>12</xdr:col>
                    <xdr:colOff>552450</xdr:colOff>
                    <xdr:row>89</xdr:row>
                    <xdr:rowOff>57150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11</xdr:col>
                    <xdr:colOff>476250</xdr:colOff>
                    <xdr:row>90</xdr:row>
                    <xdr:rowOff>171450</xdr:rowOff>
                  </from>
                  <to>
                    <xdr:col>12</xdr:col>
                    <xdr:colOff>552450</xdr:colOff>
                    <xdr:row>92</xdr:row>
                    <xdr:rowOff>38100</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11</xdr:col>
                    <xdr:colOff>476250</xdr:colOff>
                    <xdr:row>89</xdr:row>
                    <xdr:rowOff>104775</xdr:rowOff>
                  </from>
                  <to>
                    <xdr:col>12</xdr:col>
                    <xdr:colOff>552450</xdr:colOff>
                    <xdr:row>90</xdr:row>
                    <xdr:rowOff>142875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Ark4">
    <pageSetUpPr fitToPage="1"/>
  </sheetPr>
  <dimension ref="B1:U119"/>
  <sheetViews>
    <sheetView showGridLines="0" topLeftCell="A106" zoomScaleNormal="100" workbookViewId="0">
      <selection activeCell="J131" sqref="J131"/>
    </sheetView>
  </sheetViews>
  <sheetFormatPr baseColWidth="10" defaultRowHeight="14.25" x14ac:dyDescent="0.2"/>
  <cols>
    <col min="1" max="1" width="2.75" customWidth="1"/>
    <col min="2" max="2" width="0.875" customWidth="1"/>
    <col min="3" max="3" width="45.5" customWidth="1"/>
    <col min="4" max="16" width="12.25" style="3" customWidth="1"/>
    <col min="17" max="17" width="0.875" customWidth="1"/>
    <col min="18" max="18" width="39.375" customWidth="1"/>
    <col min="19" max="20" width="7.875" customWidth="1"/>
    <col min="21" max="21" width="12.25" customWidth="1"/>
  </cols>
  <sheetData>
    <row r="1" spans="2:21" s="41" customFormat="1" ht="31.9" customHeight="1" x14ac:dyDescent="0.2">
      <c r="B1" s="41" t="str">
        <f>"Budsjett " &amp; StartÅr+1</f>
        <v>Budsjett 2021</v>
      </c>
    </row>
    <row r="2" spans="2:21" s="42" customFormat="1" ht="18" x14ac:dyDescent="0.25">
      <c r="B2" s="88" t="str">
        <f>Firmanavn</f>
        <v>Eksempelbedriften AS</v>
      </c>
    </row>
    <row r="3" spans="2:21" s="12" customFormat="1" ht="31.9" customHeight="1" x14ac:dyDescent="0.2">
      <c r="D3" s="43"/>
      <c r="E3" s="43"/>
      <c r="F3" s="43"/>
      <c r="G3" s="43"/>
      <c r="H3" s="43"/>
      <c r="I3" s="43"/>
      <c r="J3" s="43"/>
      <c r="K3" s="43"/>
      <c r="L3" s="43"/>
      <c r="M3" s="43"/>
      <c r="N3" s="43"/>
      <c r="O3" s="43"/>
      <c r="P3" s="43"/>
    </row>
    <row r="4" spans="2:21" s="12" customFormat="1" ht="27.6" customHeight="1" x14ac:dyDescent="0.25">
      <c r="B4" s="30"/>
      <c r="C4" s="82" t="s">
        <v>45</v>
      </c>
      <c r="D4" s="34" t="s">
        <v>19</v>
      </c>
      <c r="E4" s="34" t="s">
        <v>20</v>
      </c>
      <c r="F4" s="34" t="s">
        <v>21</v>
      </c>
      <c r="G4" s="34" t="s">
        <v>22</v>
      </c>
      <c r="H4" s="34" t="s">
        <v>23</v>
      </c>
      <c r="I4" s="34" t="s">
        <v>24</v>
      </c>
      <c r="J4" s="34" t="s">
        <v>25</v>
      </c>
      <c r="K4" s="34" t="s">
        <v>26</v>
      </c>
      <c r="L4" s="34" t="s">
        <v>27</v>
      </c>
      <c r="M4" s="34" t="s">
        <v>28</v>
      </c>
      <c r="N4" s="34" t="s">
        <v>29</v>
      </c>
      <c r="O4" s="34" t="s">
        <v>30</v>
      </c>
      <c r="P4" s="34" t="s">
        <v>46</v>
      </c>
      <c r="Q4" s="30"/>
      <c r="R4" s="44"/>
    </row>
    <row r="5" spans="2:21" s="12" customFormat="1" x14ac:dyDescent="0.2">
      <c r="C5" s="45"/>
      <c r="D5" s="24"/>
      <c r="E5" s="24"/>
      <c r="F5" s="24"/>
      <c r="G5" s="24"/>
      <c r="H5" s="24"/>
      <c r="I5" s="24"/>
      <c r="J5" s="24"/>
      <c r="K5" s="24"/>
      <c r="L5" s="24"/>
      <c r="M5" s="24"/>
      <c r="N5" s="24"/>
      <c r="O5" s="24"/>
      <c r="P5" s="24"/>
      <c r="R5" s="44"/>
    </row>
    <row r="6" spans="2:21" s="12" customFormat="1" ht="18" customHeight="1" x14ac:dyDescent="0.2">
      <c r="C6" s="35" t="s">
        <v>47</v>
      </c>
      <c r="D6" s="43"/>
      <c r="E6" s="43"/>
      <c r="F6" s="43"/>
      <c r="G6" s="43"/>
      <c r="H6" s="43"/>
      <c r="I6" s="43"/>
      <c r="J6" s="43"/>
      <c r="K6" s="43"/>
      <c r="L6" s="43"/>
      <c r="M6" s="43"/>
      <c r="N6" s="43"/>
      <c r="O6" s="43"/>
      <c r="P6" s="43"/>
    </row>
    <row r="7" spans="2:21" s="12" customFormat="1" x14ac:dyDescent="0.2">
      <c r="C7" s="90" t="s">
        <v>106</v>
      </c>
      <c r="D7" s="91">
        <v>150</v>
      </c>
      <c r="E7" s="91">
        <v>150</v>
      </c>
      <c r="F7" s="91">
        <v>150</v>
      </c>
      <c r="G7" s="91">
        <v>150</v>
      </c>
      <c r="H7" s="91">
        <v>150</v>
      </c>
      <c r="I7" s="91">
        <v>150</v>
      </c>
      <c r="J7" s="91">
        <v>150</v>
      </c>
      <c r="K7" s="91">
        <v>150</v>
      </c>
      <c r="L7" s="91">
        <v>150</v>
      </c>
      <c r="M7" s="91">
        <v>150</v>
      </c>
      <c r="N7" s="91">
        <v>150</v>
      </c>
      <c r="O7" s="91">
        <v>150</v>
      </c>
      <c r="P7" s="43">
        <f>SUM(D7:O7)</f>
        <v>1800</v>
      </c>
    </row>
    <row r="8" spans="2:21" s="12" customFormat="1" x14ac:dyDescent="0.2">
      <c r="C8" s="90" t="s">
        <v>107</v>
      </c>
      <c r="D8" s="91">
        <v>75</v>
      </c>
      <c r="E8" s="91">
        <v>75</v>
      </c>
      <c r="F8" s="91">
        <v>75</v>
      </c>
      <c r="G8" s="91">
        <v>75</v>
      </c>
      <c r="H8" s="91">
        <v>75</v>
      </c>
      <c r="I8" s="91">
        <v>75</v>
      </c>
      <c r="J8" s="91">
        <v>75</v>
      </c>
      <c r="K8" s="91">
        <v>75</v>
      </c>
      <c r="L8" s="91">
        <v>75</v>
      </c>
      <c r="M8" s="91">
        <v>75</v>
      </c>
      <c r="N8" s="91">
        <v>75</v>
      </c>
      <c r="O8" s="91">
        <v>75</v>
      </c>
      <c r="P8" s="43">
        <f t="shared" ref="P8:P12" si="0">SUM(D8:O8)</f>
        <v>900</v>
      </c>
    </row>
    <row r="9" spans="2:21" s="12" customFormat="1" x14ac:dyDescent="0.2">
      <c r="C9" s="90" t="s">
        <v>108</v>
      </c>
      <c r="D9" s="91">
        <v>30</v>
      </c>
      <c r="E9" s="91">
        <v>30</v>
      </c>
      <c r="F9" s="91">
        <v>30</v>
      </c>
      <c r="G9" s="91">
        <v>30</v>
      </c>
      <c r="H9" s="91">
        <v>30</v>
      </c>
      <c r="I9" s="91">
        <v>30</v>
      </c>
      <c r="J9" s="91">
        <v>30</v>
      </c>
      <c r="K9" s="91">
        <v>30</v>
      </c>
      <c r="L9" s="91">
        <v>30</v>
      </c>
      <c r="M9" s="91">
        <v>30</v>
      </c>
      <c r="N9" s="91">
        <v>30</v>
      </c>
      <c r="O9" s="91">
        <v>30</v>
      </c>
      <c r="P9" s="43">
        <f t="shared" si="0"/>
        <v>360</v>
      </c>
    </row>
    <row r="10" spans="2:21" s="12" customFormat="1" x14ac:dyDescent="0.2">
      <c r="C10" s="90" t="s">
        <v>109</v>
      </c>
      <c r="D10" s="91">
        <v>15</v>
      </c>
      <c r="E10" s="91">
        <v>15</v>
      </c>
      <c r="F10" s="91">
        <v>15</v>
      </c>
      <c r="G10" s="91">
        <v>15</v>
      </c>
      <c r="H10" s="91">
        <v>15</v>
      </c>
      <c r="I10" s="91">
        <v>15</v>
      </c>
      <c r="J10" s="91">
        <v>15</v>
      </c>
      <c r="K10" s="91">
        <v>15</v>
      </c>
      <c r="L10" s="91">
        <v>15</v>
      </c>
      <c r="M10" s="91">
        <v>15</v>
      </c>
      <c r="N10" s="91">
        <v>15</v>
      </c>
      <c r="O10" s="91">
        <v>15</v>
      </c>
      <c r="P10" s="43">
        <f t="shared" si="0"/>
        <v>180</v>
      </c>
    </row>
    <row r="11" spans="2:21" s="12" customFormat="1" x14ac:dyDescent="0.2">
      <c r="C11" s="90"/>
      <c r="D11" s="91"/>
      <c r="E11" s="91"/>
      <c r="F11" s="91"/>
      <c r="G11" s="91"/>
      <c r="H11" s="91"/>
      <c r="I11" s="91"/>
      <c r="J11" s="91"/>
      <c r="K11" s="91"/>
      <c r="L11" s="91"/>
      <c r="M11" s="91"/>
      <c r="N11" s="91"/>
      <c r="O11" s="91"/>
      <c r="P11" s="43">
        <f t="shared" si="0"/>
        <v>0</v>
      </c>
    </row>
    <row r="12" spans="2:21" s="12" customFormat="1" x14ac:dyDescent="0.2">
      <c r="C12" s="90"/>
      <c r="D12" s="91"/>
      <c r="E12" s="91"/>
      <c r="F12" s="91"/>
      <c r="G12" s="91"/>
      <c r="H12" s="91"/>
      <c r="I12" s="91"/>
      <c r="J12" s="91"/>
      <c r="K12" s="91"/>
      <c r="L12" s="91"/>
      <c r="M12" s="91"/>
      <c r="N12" s="91"/>
      <c r="O12" s="91"/>
      <c r="P12" s="43">
        <f t="shared" si="0"/>
        <v>0</v>
      </c>
    </row>
    <row r="13" spans="2:21" s="19" customFormat="1" ht="15" x14ac:dyDescent="0.25">
      <c r="B13" s="46"/>
      <c r="C13" s="46" t="s">
        <v>48</v>
      </c>
      <c r="D13" s="46">
        <f>SUM(D7:D12)</f>
        <v>270</v>
      </c>
      <c r="E13" s="46">
        <f t="shared" ref="E13:O13" si="1">SUM(E7:E12)</f>
        <v>270</v>
      </c>
      <c r="F13" s="46">
        <f t="shared" si="1"/>
        <v>270</v>
      </c>
      <c r="G13" s="46">
        <f t="shared" si="1"/>
        <v>270</v>
      </c>
      <c r="H13" s="46">
        <f t="shared" si="1"/>
        <v>270</v>
      </c>
      <c r="I13" s="46">
        <f t="shared" si="1"/>
        <v>270</v>
      </c>
      <c r="J13" s="46">
        <f t="shared" si="1"/>
        <v>270</v>
      </c>
      <c r="K13" s="46">
        <f t="shared" si="1"/>
        <v>270</v>
      </c>
      <c r="L13" s="46">
        <f t="shared" si="1"/>
        <v>270</v>
      </c>
      <c r="M13" s="46">
        <f t="shared" si="1"/>
        <v>270</v>
      </c>
      <c r="N13" s="46">
        <f t="shared" si="1"/>
        <v>270</v>
      </c>
      <c r="O13" s="46">
        <f t="shared" si="1"/>
        <v>270</v>
      </c>
      <c r="P13" s="46">
        <f>SUM(P7:P12)</f>
        <v>3240</v>
      </c>
      <c r="Q13" s="46"/>
      <c r="U13" s="52"/>
    </row>
    <row r="14" spans="2:21" s="12" customFormat="1" x14ac:dyDescent="0.2">
      <c r="D14" s="43"/>
      <c r="E14" s="43"/>
      <c r="F14" s="43"/>
      <c r="G14" s="43"/>
      <c r="H14" s="43"/>
      <c r="I14" s="43"/>
      <c r="J14" s="43"/>
      <c r="K14" s="43"/>
      <c r="L14" s="43"/>
      <c r="M14" s="43"/>
      <c r="N14" s="43"/>
      <c r="O14" s="43"/>
      <c r="P14" s="43"/>
    </row>
    <row r="15" spans="2:21" s="12" customFormat="1" ht="18" customHeight="1" x14ac:dyDescent="0.2">
      <c r="C15" s="47" t="s">
        <v>49</v>
      </c>
      <c r="D15" s="43"/>
      <c r="E15" s="43"/>
      <c r="F15" s="43"/>
      <c r="G15" s="43"/>
      <c r="H15" s="43"/>
      <c r="I15" s="43"/>
      <c r="J15" s="43"/>
      <c r="K15" s="43"/>
      <c r="L15" s="43"/>
      <c r="M15" s="43"/>
      <c r="N15" s="43"/>
      <c r="O15" s="43"/>
      <c r="P15" s="43"/>
    </row>
    <row r="16" spans="2:21" s="12" customFormat="1" x14ac:dyDescent="0.2">
      <c r="C16" s="90" t="s">
        <v>110</v>
      </c>
      <c r="D16" s="91">
        <v>15</v>
      </c>
      <c r="E16" s="91">
        <v>15</v>
      </c>
      <c r="F16" s="91">
        <v>15</v>
      </c>
      <c r="G16" s="91">
        <v>15</v>
      </c>
      <c r="H16" s="91">
        <v>15</v>
      </c>
      <c r="I16" s="91">
        <v>15</v>
      </c>
      <c r="J16" s="91">
        <v>15</v>
      </c>
      <c r="K16" s="91">
        <v>15</v>
      </c>
      <c r="L16" s="91">
        <v>15</v>
      </c>
      <c r="M16" s="91">
        <v>15</v>
      </c>
      <c r="N16" s="91">
        <v>15</v>
      </c>
      <c r="O16" s="91">
        <v>15</v>
      </c>
      <c r="P16" s="43">
        <f>SUM(D16:O16)</f>
        <v>180</v>
      </c>
    </row>
    <row r="17" spans="2:17" s="12" customFormat="1" x14ac:dyDescent="0.2">
      <c r="C17" s="92" t="s">
        <v>111</v>
      </c>
      <c r="D17" s="91">
        <v>10</v>
      </c>
      <c r="E17" s="91">
        <v>10</v>
      </c>
      <c r="F17" s="91">
        <v>10</v>
      </c>
      <c r="G17" s="91">
        <v>10</v>
      </c>
      <c r="H17" s="91">
        <v>10</v>
      </c>
      <c r="I17" s="91">
        <v>10</v>
      </c>
      <c r="J17" s="91">
        <v>10</v>
      </c>
      <c r="K17" s="91">
        <v>10</v>
      </c>
      <c r="L17" s="91">
        <v>10</v>
      </c>
      <c r="M17" s="91">
        <v>10</v>
      </c>
      <c r="N17" s="91">
        <v>10</v>
      </c>
      <c r="O17" s="91">
        <v>10</v>
      </c>
      <c r="P17" s="43">
        <f t="shared" ref="P17:P27" si="2">SUM(D17:O17)</f>
        <v>120</v>
      </c>
    </row>
    <row r="18" spans="2:17" s="12" customFormat="1" x14ac:dyDescent="0.2">
      <c r="C18" s="92" t="s">
        <v>112</v>
      </c>
      <c r="D18" s="91">
        <v>7.5</v>
      </c>
      <c r="E18" s="91">
        <v>7.5</v>
      </c>
      <c r="F18" s="91">
        <v>7.5</v>
      </c>
      <c r="G18" s="91">
        <v>7.5</v>
      </c>
      <c r="H18" s="91">
        <v>7.5</v>
      </c>
      <c r="I18" s="91">
        <v>7.5</v>
      </c>
      <c r="J18" s="91">
        <v>7.5</v>
      </c>
      <c r="K18" s="91">
        <v>7.5</v>
      </c>
      <c r="L18" s="91">
        <v>7.5</v>
      </c>
      <c r="M18" s="91">
        <v>7.5</v>
      </c>
      <c r="N18" s="91">
        <v>7.5</v>
      </c>
      <c r="O18" s="91">
        <v>7.5</v>
      </c>
      <c r="P18" s="43">
        <f t="shared" si="2"/>
        <v>90</v>
      </c>
    </row>
    <row r="19" spans="2:17" s="12" customFormat="1" x14ac:dyDescent="0.2">
      <c r="C19" s="92" t="s">
        <v>113</v>
      </c>
      <c r="D19" s="91">
        <v>8</v>
      </c>
      <c r="E19" s="91">
        <v>8</v>
      </c>
      <c r="F19" s="91">
        <v>8</v>
      </c>
      <c r="G19" s="91">
        <v>8</v>
      </c>
      <c r="H19" s="91">
        <v>8</v>
      </c>
      <c r="I19" s="91">
        <v>8</v>
      </c>
      <c r="J19" s="91">
        <v>8</v>
      </c>
      <c r="K19" s="91">
        <v>8</v>
      </c>
      <c r="L19" s="91">
        <v>8</v>
      </c>
      <c r="M19" s="91">
        <v>8</v>
      </c>
      <c r="N19" s="91">
        <v>8</v>
      </c>
      <c r="O19" s="91">
        <v>8</v>
      </c>
      <c r="P19" s="43">
        <f t="shared" si="2"/>
        <v>96</v>
      </c>
    </row>
    <row r="20" spans="2:17" s="12" customFormat="1" x14ac:dyDescent="0.2">
      <c r="C20" s="92"/>
      <c r="D20" s="91"/>
      <c r="E20" s="91"/>
      <c r="F20" s="91"/>
      <c r="G20" s="91"/>
      <c r="H20" s="91"/>
      <c r="I20" s="91"/>
      <c r="J20" s="91"/>
      <c r="K20" s="91"/>
      <c r="L20" s="91"/>
      <c r="M20" s="91"/>
      <c r="N20" s="91"/>
      <c r="O20" s="91"/>
      <c r="P20" s="43">
        <f t="shared" si="2"/>
        <v>0</v>
      </c>
    </row>
    <row r="21" spans="2:17" s="12" customFormat="1" x14ac:dyDescent="0.2">
      <c r="C21" s="92"/>
      <c r="D21" s="91"/>
      <c r="E21" s="91"/>
      <c r="F21" s="91"/>
      <c r="G21" s="91"/>
      <c r="H21" s="91"/>
      <c r="I21" s="91"/>
      <c r="J21" s="91"/>
      <c r="K21" s="91"/>
      <c r="L21" s="91"/>
      <c r="M21" s="91"/>
      <c r="N21" s="91"/>
      <c r="O21" s="91"/>
      <c r="P21" s="43">
        <f t="shared" si="2"/>
        <v>0</v>
      </c>
    </row>
    <row r="22" spans="2:17" s="12" customFormat="1" x14ac:dyDescent="0.2">
      <c r="C22" s="92"/>
      <c r="D22" s="91"/>
      <c r="E22" s="91"/>
      <c r="F22" s="91"/>
      <c r="G22" s="91"/>
      <c r="H22" s="91"/>
      <c r="I22" s="91"/>
      <c r="J22" s="91"/>
      <c r="K22" s="91"/>
      <c r="L22" s="91"/>
      <c r="M22" s="91"/>
      <c r="N22" s="91"/>
      <c r="O22" s="91"/>
      <c r="P22" s="43">
        <f t="shared" si="2"/>
        <v>0</v>
      </c>
    </row>
    <row r="23" spans="2:17" s="12" customFormat="1" x14ac:dyDescent="0.2">
      <c r="C23" s="92"/>
      <c r="D23" s="91"/>
      <c r="E23" s="91"/>
      <c r="F23" s="91"/>
      <c r="G23" s="91"/>
      <c r="H23" s="91"/>
      <c r="I23" s="91"/>
      <c r="J23" s="91"/>
      <c r="K23" s="91"/>
      <c r="L23" s="91"/>
      <c r="M23" s="91"/>
      <c r="N23" s="91"/>
      <c r="O23" s="91"/>
      <c r="P23" s="43">
        <f t="shared" si="2"/>
        <v>0</v>
      </c>
    </row>
    <row r="24" spans="2:17" s="12" customFormat="1" x14ac:dyDescent="0.2">
      <c r="C24" s="92"/>
      <c r="D24" s="91"/>
      <c r="E24" s="91"/>
      <c r="F24" s="91"/>
      <c r="G24" s="91"/>
      <c r="H24" s="91"/>
      <c r="I24" s="91"/>
      <c r="J24" s="91"/>
      <c r="K24" s="91"/>
      <c r="L24" s="91"/>
      <c r="M24" s="91"/>
      <c r="N24" s="91"/>
      <c r="O24" s="91"/>
      <c r="P24" s="43">
        <f t="shared" si="2"/>
        <v>0</v>
      </c>
    </row>
    <row r="25" spans="2:17" s="12" customFormat="1" x14ac:dyDescent="0.2">
      <c r="C25" s="92"/>
      <c r="D25" s="91"/>
      <c r="E25" s="91"/>
      <c r="F25" s="91"/>
      <c r="G25" s="91"/>
      <c r="H25" s="91"/>
      <c r="I25" s="91"/>
      <c r="J25" s="91"/>
      <c r="K25" s="91"/>
      <c r="L25" s="91"/>
      <c r="M25" s="91"/>
      <c r="N25" s="91"/>
      <c r="O25" s="91"/>
      <c r="P25" s="43">
        <f t="shared" si="2"/>
        <v>0</v>
      </c>
    </row>
    <row r="26" spans="2:17" s="12" customFormat="1" x14ac:dyDescent="0.2">
      <c r="C26" s="92"/>
      <c r="D26" s="91"/>
      <c r="E26" s="91"/>
      <c r="F26" s="91"/>
      <c r="G26" s="91"/>
      <c r="H26" s="91"/>
      <c r="I26" s="91"/>
      <c r="J26" s="91"/>
      <c r="K26" s="91"/>
      <c r="L26" s="91"/>
      <c r="M26" s="91"/>
      <c r="N26" s="91"/>
      <c r="O26" s="91"/>
      <c r="P26" s="43">
        <f t="shared" si="2"/>
        <v>0</v>
      </c>
    </row>
    <row r="27" spans="2:17" s="12" customFormat="1" x14ac:dyDescent="0.2">
      <c r="C27" s="92"/>
      <c r="D27" s="91"/>
      <c r="E27" s="91"/>
      <c r="F27" s="91"/>
      <c r="G27" s="91"/>
      <c r="H27" s="91"/>
      <c r="I27" s="91"/>
      <c r="J27" s="91"/>
      <c r="K27" s="91"/>
      <c r="L27" s="91"/>
      <c r="M27" s="91"/>
      <c r="N27" s="91"/>
      <c r="O27" s="91"/>
      <c r="P27" s="43">
        <f t="shared" si="2"/>
        <v>0</v>
      </c>
    </row>
    <row r="28" spans="2:17" s="19" customFormat="1" ht="15" x14ac:dyDescent="0.25">
      <c r="B28" s="46"/>
      <c r="C28" s="46" t="s">
        <v>50</v>
      </c>
      <c r="D28" s="46">
        <f>SUM(D16:D27)</f>
        <v>40.5</v>
      </c>
      <c r="E28" s="46">
        <f t="shared" ref="E28:O28" si="3">SUM(E16:E27)</f>
        <v>40.5</v>
      </c>
      <c r="F28" s="46">
        <f t="shared" si="3"/>
        <v>40.5</v>
      </c>
      <c r="G28" s="46">
        <f t="shared" si="3"/>
        <v>40.5</v>
      </c>
      <c r="H28" s="46">
        <f t="shared" si="3"/>
        <v>40.5</v>
      </c>
      <c r="I28" s="46">
        <f t="shared" si="3"/>
        <v>40.5</v>
      </c>
      <c r="J28" s="46">
        <f t="shared" si="3"/>
        <v>40.5</v>
      </c>
      <c r="K28" s="46">
        <f t="shared" si="3"/>
        <v>40.5</v>
      </c>
      <c r="L28" s="46">
        <f t="shared" si="3"/>
        <v>40.5</v>
      </c>
      <c r="M28" s="46">
        <f t="shared" si="3"/>
        <v>40.5</v>
      </c>
      <c r="N28" s="46">
        <f t="shared" si="3"/>
        <v>40.5</v>
      </c>
      <c r="O28" s="46">
        <f t="shared" si="3"/>
        <v>40.5</v>
      </c>
      <c r="P28" s="46">
        <f>SUM(P16:P27)</f>
        <v>486</v>
      </c>
      <c r="Q28" s="46"/>
    </row>
    <row r="29" spans="2:17" s="12" customFormat="1" ht="15" x14ac:dyDescent="0.25">
      <c r="C29" s="48"/>
      <c r="D29" s="49"/>
      <c r="E29" s="49"/>
      <c r="F29" s="49"/>
      <c r="G29" s="49"/>
      <c r="H29" s="49"/>
      <c r="I29" s="49"/>
      <c r="J29" s="49"/>
      <c r="K29" s="49"/>
      <c r="L29" s="49"/>
      <c r="M29" s="49"/>
      <c r="N29" s="49"/>
      <c r="O29" s="49"/>
      <c r="P29" s="49"/>
    </row>
    <row r="30" spans="2:17" s="12" customFormat="1" x14ac:dyDescent="0.2">
      <c r="C30" s="12" t="s">
        <v>87</v>
      </c>
      <c r="D30" s="50">
        <f>D13-D28</f>
        <v>229.5</v>
      </c>
      <c r="E30" s="50">
        <f t="shared" ref="E30:P30" si="4">E13-E28</f>
        <v>229.5</v>
      </c>
      <c r="F30" s="50">
        <f t="shared" si="4"/>
        <v>229.5</v>
      </c>
      <c r="G30" s="50">
        <f t="shared" si="4"/>
        <v>229.5</v>
      </c>
      <c r="H30" s="50">
        <f t="shared" si="4"/>
        <v>229.5</v>
      </c>
      <c r="I30" s="50">
        <f t="shared" si="4"/>
        <v>229.5</v>
      </c>
      <c r="J30" s="50">
        <f t="shared" si="4"/>
        <v>229.5</v>
      </c>
      <c r="K30" s="50">
        <f t="shared" si="4"/>
        <v>229.5</v>
      </c>
      <c r="L30" s="50">
        <f t="shared" si="4"/>
        <v>229.5</v>
      </c>
      <c r="M30" s="50">
        <f t="shared" si="4"/>
        <v>229.5</v>
      </c>
      <c r="N30" s="50">
        <f t="shared" si="4"/>
        <v>229.5</v>
      </c>
      <c r="O30" s="50">
        <f t="shared" si="4"/>
        <v>229.5</v>
      </c>
      <c r="P30" s="50">
        <f t="shared" si="4"/>
        <v>2754</v>
      </c>
    </row>
    <row r="31" spans="2:17" s="12" customFormat="1" x14ac:dyDescent="0.2">
      <c r="C31" s="12" t="s">
        <v>40</v>
      </c>
      <c r="D31" s="51">
        <f>IFERROR(D30/D13,0)</f>
        <v>0.85</v>
      </c>
      <c r="E31" s="51">
        <f t="shared" ref="E31:P31" si="5">IFERROR(E30/E13,0)</f>
        <v>0.85</v>
      </c>
      <c r="F31" s="51">
        <f t="shared" si="5"/>
        <v>0.85</v>
      </c>
      <c r="G31" s="51">
        <f t="shared" si="5"/>
        <v>0.85</v>
      </c>
      <c r="H31" s="51">
        <f t="shared" si="5"/>
        <v>0.85</v>
      </c>
      <c r="I31" s="51">
        <f t="shared" si="5"/>
        <v>0.85</v>
      </c>
      <c r="J31" s="51">
        <f t="shared" si="5"/>
        <v>0.85</v>
      </c>
      <c r="K31" s="51">
        <f t="shared" si="5"/>
        <v>0.85</v>
      </c>
      <c r="L31" s="51">
        <f t="shared" si="5"/>
        <v>0.85</v>
      </c>
      <c r="M31" s="51">
        <f t="shared" si="5"/>
        <v>0.85</v>
      </c>
      <c r="N31" s="51">
        <f t="shared" si="5"/>
        <v>0.85</v>
      </c>
      <c r="O31" s="51">
        <f t="shared" si="5"/>
        <v>0.85</v>
      </c>
      <c r="P31" s="51">
        <f t="shared" si="5"/>
        <v>0.85</v>
      </c>
    </row>
    <row r="32" spans="2:17" s="12" customFormat="1" x14ac:dyDescent="0.2">
      <c r="D32" s="51"/>
      <c r="E32" s="51"/>
      <c r="F32" s="51"/>
      <c r="G32" s="51"/>
      <c r="H32" s="51"/>
      <c r="I32" s="51"/>
      <c r="J32" s="51"/>
      <c r="K32" s="51"/>
      <c r="L32" s="51"/>
      <c r="M32" s="51"/>
      <c r="N32" s="51"/>
      <c r="O32" s="51"/>
      <c r="P32" s="51"/>
    </row>
    <row r="33" spans="3:18" s="12" customFormat="1" ht="18" customHeight="1" x14ac:dyDescent="0.2">
      <c r="C33" s="47" t="s">
        <v>5</v>
      </c>
      <c r="D33" s="43"/>
      <c r="E33" s="43"/>
      <c r="F33" s="43"/>
      <c r="G33" s="43"/>
      <c r="H33" s="43"/>
      <c r="I33" s="43"/>
      <c r="J33" s="43"/>
      <c r="K33" s="43"/>
      <c r="L33" s="43"/>
      <c r="M33" s="43"/>
      <c r="N33" s="43"/>
      <c r="O33" s="43"/>
      <c r="P33" s="43"/>
    </row>
    <row r="34" spans="3:18" s="12" customFormat="1" x14ac:dyDescent="0.2">
      <c r="C34" s="12" t="s">
        <v>51</v>
      </c>
      <c r="D34" s="83">
        <f>'Lønn '!E13</f>
        <v>75</v>
      </c>
      <c r="E34" s="83">
        <f>'Lønn '!F13</f>
        <v>75</v>
      </c>
      <c r="F34" s="83">
        <f>'Lønn '!G13</f>
        <v>75</v>
      </c>
      <c r="G34" s="83">
        <f>'Lønn '!H13</f>
        <v>75</v>
      </c>
      <c r="H34" s="83">
        <f>'Lønn '!I13</f>
        <v>75</v>
      </c>
      <c r="I34" s="83">
        <f>'Lønn '!J13</f>
        <v>75</v>
      </c>
      <c r="J34" s="83">
        <f>'Lønn '!K13</f>
        <v>75</v>
      </c>
      <c r="K34" s="83">
        <f>'Lønn '!L13</f>
        <v>75</v>
      </c>
      <c r="L34" s="83">
        <f>'Lønn '!M13</f>
        <v>75</v>
      </c>
      <c r="M34" s="83">
        <f>'Lønn '!N13</f>
        <v>75</v>
      </c>
      <c r="N34" s="83">
        <f>'Lønn '!O13</f>
        <v>75</v>
      </c>
      <c r="O34" s="83">
        <f>'Lønn '!P13</f>
        <v>75</v>
      </c>
      <c r="P34" s="43">
        <f>SUM(D34:O34)</f>
        <v>900</v>
      </c>
    </row>
    <row r="35" spans="3:18" s="12" customFormat="1" x14ac:dyDescent="0.2">
      <c r="C35" s="12" t="s">
        <v>52</v>
      </c>
      <c r="D35" s="80"/>
      <c r="E35" s="80"/>
      <c r="F35" s="80"/>
      <c r="G35" s="80"/>
      <c r="H35" s="80"/>
      <c r="I35" s="80"/>
      <c r="J35" s="80"/>
      <c r="K35" s="80"/>
      <c r="L35" s="80"/>
      <c r="M35" s="80"/>
      <c r="N35" s="80"/>
      <c r="O35" s="80"/>
      <c r="P35" s="43">
        <f t="shared" ref="P35:P48" si="6">SUM(D35:O35)</f>
        <v>0</v>
      </c>
    </row>
    <row r="36" spans="3:18" s="12" customFormat="1" x14ac:dyDescent="0.2">
      <c r="C36" s="12" t="s">
        <v>53</v>
      </c>
      <c r="D36" s="80"/>
      <c r="E36" s="80"/>
      <c r="F36" s="80"/>
      <c r="G36" s="80"/>
      <c r="H36" s="80"/>
      <c r="I36" s="80"/>
      <c r="J36" s="80"/>
      <c r="K36" s="80"/>
      <c r="L36" s="80"/>
      <c r="M36" s="80"/>
      <c r="N36" s="80"/>
      <c r="O36" s="80"/>
      <c r="P36" s="43">
        <f t="shared" si="6"/>
        <v>0</v>
      </c>
    </row>
    <row r="37" spans="3:18" s="12" customFormat="1" x14ac:dyDescent="0.2">
      <c r="C37" s="12" t="s">
        <v>54</v>
      </c>
      <c r="D37" s="83">
        <f>'Lønn '!E15</f>
        <v>9</v>
      </c>
      <c r="E37" s="83">
        <f>'Lønn '!F15</f>
        <v>9</v>
      </c>
      <c r="F37" s="83">
        <f>'Lønn '!G15</f>
        <v>9</v>
      </c>
      <c r="G37" s="83">
        <f>'Lønn '!H15</f>
        <v>9</v>
      </c>
      <c r="H37" s="83">
        <f>'Lønn '!I15</f>
        <v>9</v>
      </c>
      <c r="I37" s="83">
        <f>'Lønn '!J15</f>
        <v>9</v>
      </c>
      <c r="J37" s="83">
        <f>'Lønn '!K15</f>
        <v>9</v>
      </c>
      <c r="K37" s="83">
        <f>'Lønn '!L15</f>
        <v>9</v>
      </c>
      <c r="L37" s="83">
        <f>'Lønn '!M15</f>
        <v>9</v>
      </c>
      <c r="M37" s="83">
        <f>'Lønn '!N15</f>
        <v>9</v>
      </c>
      <c r="N37" s="83">
        <f>'Lønn '!O15</f>
        <v>9</v>
      </c>
      <c r="O37" s="83">
        <f>'Lønn '!P15</f>
        <v>9</v>
      </c>
      <c r="P37" s="43">
        <f t="shared" si="6"/>
        <v>108</v>
      </c>
    </row>
    <row r="38" spans="3:18" s="12" customFormat="1" x14ac:dyDescent="0.2">
      <c r="C38" s="12" t="s">
        <v>55</v>
      </c>
      <c r="D38" s="83">
        <f>'Lønn '!E16</f>
        <v>1.2689999999999999</v>
      </c>
      <c r="E38" s="83">
        <f>'Lønn '!F16</f>
        <v>1.2689999999999999</v>
      </c>
      <c r="F38" s="83">
        <f>'Lønn '!G16</f>
        <v>1.2689999999999999</v>
      </c>
      <c r="G38" s="83">
        <f>'Lønn '!H16</f>
        <v>1.2689999999999999</v>
      </c>
      <c r="H38" s="83">
        <f>'Lønn '!I16</f>
        <v>1.2689999999999999</v>
      </c>
      <c r="I38" s="83">
        <f>'Lønn '!J16</f>
        <v>1.2689999999999999</v>
      </c>
      <c r="J38" s="83">
        <f>'Lønn '!K16</f>
        <v>1.2689999999999999</v>
      </c>
      <c r="K38" s="83">
        <f>'Lønn '!L16</f>
        <v>1.2689999999999999</v>
      </c>
      <c r="L38" s="83">
        <f>'Lønn '!M16</f>
        <v>1.2689999999999999</v>
      </c>
      <c r="M38" s="83">
        <f>'Lønn '!N16</f>
        <v>1.2689999999999999</v>
      </c>
      <c r="N38" s="83">
        <f>'Lønn '!O16</f>
        <v>1.2689999999999999</v>
      </c>
      <c r="O38" s="83">
        <f>'Lønn '!P16</f>
        <v>1.2689999999999999</v>
      </c>
      <c r="P38" s="43">
        <f t="shared" si="6"/>
        <v>15.228</v>
      </c>
    </row>
    <row r="39" spans="3:18" s="12" customFormat="1" x14ac:dyDescent="0.2">
      <c r="C39" s="12" t="s">
        <v>56</v>
      </c>
      <c r="D39" s="80"/>
      <c r="E39" s="80"/>
      <c r="F39" s="80"/>
      <c r="G39" s="80"/>
      <c r="H39" s="80"/>
      <c r="I39" s="80"/>
      <c r="J39" s="80"/>
      <c r="K39" s="80"/>
      <c r="L39" s="80"/>
      <c r="M39" s="80"/>
      <c r="N39" s="80"/>
      <c r="O39" s="80"/>
      <c r="P39" s="43">
        <f t="shared" si="6"/>
        <v>0</v>
      </c>
    </row>
    <row r="40" spans="3:18" s="12" customFormat="1" x14ac:dyDescent="0.2">
      <c r="C40" s="12" t="s">
        <v>57</v>
      </c>
      <c r="D40" s="80"/>
      <c r="E40" s="80"/>
      <c r="F40" s="80"/>
      <c r="G40" s="80"/>
      <c r="H40" s="80"/>
      <c r="I40" s="80"/>
      <c r="J40" s="80"/>
      <c r="K40" s="80"/>
      <c r="L40" s="80"/>
      <c r="M40" s="80"/>
      <c r="N40" s="80"/>
      <c r="O40" s="80"/>
      <c r="P40" s="43">
        <f t="shared" si="6"/>
        <v>0</v>
      </c>
    </row>
    <row r="41" spans="3:18" s="12" customFormat="1" x14ac:dyDescent="0.2">
      <c r="C41" s="12" t="s">
        <v>58</v>
      </c>
      <c r="D41" s="83">
        <f>'Lønn '!E14</f>
        <v>10.786499999999998</v>
      </c>
      <c r="E41" s="83">
        <f>'Lønn '!F14</f>
        <v>10.786499999999998</v>
      </c>
      <c r="F41" s="83">
        <f>'Lønn '!G14</f>
        <v>10.786499999999998</v>
      </c>
      <c r="G41" s="83">
        <f>'Lønn '!H14</f>
        <v>10.786499999999998</v>
      </c>
      <c r="H41" s="83">
        <f>'Lønn '!I14</f>
        <v>10.786499999999998</v>
      </c>
      <c r="I41" s="83">
        <f>'Lønn '!J14</f>
        <v>10.786499999999998</v>
      </c>
      <c r="J41" s="83">
        <f>'Lønn '!K14</f>
        <v>10.786499999999998</v>
      </c>
      <c r="K41" s="83">
        <f>'Lønn '!L14</f>
        <v>10.786499999999998</v>
      </c>
      <c r="L41" s="83">
        <f>'Lønn '!M14</f>
        <v>10.786499999999998</v>
      </c>
      <c r="M41" s="83">
        <f>'Lønn '!N14</f>
        <v>10.786499999999998</v>
      </c>
      <c r="N41" s="83">
        <f>'Lønn '!O14</f>
        <v>10.786499999999998</v>
      </c>
      <c r="O41" s="83">
        <f>'Lønn '!P14</f>
        <v>10.786499999999998</v>
      </c>
      <c r="P41" s="43">
        <f t="shared" si="6"/>
        <v>129.43800000000002</v>
      </c>
      <c r="R41" s="2"/>
    </row>
    <row r="42" spans="3:18" s="12" customFormat="1" x14ac:dyDescent="0.2">
      <c r="C42" s="2" t="s">
        <v>99</v>
      </c>
      <c r="D42" s="83">
        <f>'Lønn '!E18</f>
        <v>0.21149999999999997</v>
      </c>
      <c r="E42" s="83">
        <f>'Lønn '!F18</f>
        <v>0.21149999999999997</v>
      </c>
      <c r="F42" s="83">
        <f>'Lønn '!G18</f>
        <v>0.21149999999999997</v>
      </c>
      <c r="G42" s="83">
        <f>'Lønn '!H18</f>
        <v>0.21149999999999997</v>
      </c>
      <c r="H42" s="83">
        <f>'Lønn '!I18</f>
        <v>0.21149999999999997</v>
      </c>
      <c r="I42" s="83">
        <f>'Lønn '!J18</f>
        <v>0.21149999999999997</v>
      </c>
      <c r="J42" s="83">
        <f>'Lønn '!K18</f>
        <v>0.21149999999999997</v>
      </c>
      <c r="K42" s="83">
        <f>'Lønn '!L18</f>
        <v>0.21149999999999997</v>
      </c>
      <c r="L42" s="83">
        <f>'Lønn '!M18</f>
        <v>0.21149999999999997</v>
      </c>
      <c r="M42" s="83">
        <f>'Lønn '!N18</f>
        <v>0.21149999999999997</v>
      </c>
      <c r="N42" s="83">
        <f>'Lønn '!O18</f>
        <v>0.21149999999999997</v>
      </c>
      <c r="O42" s="83">
        <f>'Lønn '!P18</f>
        <v>0.21149999999999997</v>
      </c>
      <c r="P42" s="43">
        <f t="shared" si="6"/>
        <v>2.5379999999999998</v>
      </c>
    </row>
    <row r="43" spans="3:18" s="12" customFormat="1" x14ac:dyDescent="0.2">
      <c r="C43" s="12" t="s">
        <v>59</v>
      </c>
      <c r="D43" s="80"/>
      <c r="E43" s="80"/>
      <c r="F43" s="80"/>
      <c r="G43" s="80"/>
      <c r="H43" s="80"/>
      <c r="I43" s="80"/>
      <c r="J43" s="80"/>
      <c r="K43" s="80"/>
      <c r="L43" s="80"/>
      <c r="M43" s="80"/>
      <c r="N43" s="80"/>
      <c r="O43" s="80"/>
      <c r="P43" s="43">
        <f t="shared" si="6"/>
        <v>0</v>
      </c>
    </row>
    <row r="44" spans="3:18" s="12" customFormat="1" x14ac:dyDescent="0.2">
      <c r="C44" s="12" t="s">
        <v>60</v>
      </c>
      <c r="D44" s="80"/>
      <c r="E44" s="80"/>
      <c r="F44" s="80"/>
      <c r="G44" s="80"/>
      <c r="H44" s="80"/>
      <c r="I44" s="80"/>
      <c r="J44" s="80"/>
      <c r="K44" s="80"/>
      <c r="L44" s="80"/>
      <c r="M44" s="80"/>
      <c r="N44" s="80"/>
      <c r="O44" s="80"/>
      <c r="P44" s="43">
        <f t="shared" si="6"/>
        <v>0</v>
      </c>
    </row>
    <row r="45" spans="3:18" s="12" customFormat="1" x14ac:dyDescent="0.2">
      <c r="C45" s="12" t="s">
        <v>61</v>
      </c>
      <c r="D45" s="80"/>
      <c r="E45" s="80"/>
      <c r="F45" s="80"/>
      <c r="G45" s="80"/>
      <c r="H45" s="80"/>
      <c r="I45" s="80"/>
      <c r="J45" s="80"/>
      <c r="K45" s="80"/>
      <c r="L45" s="80"/>
      <c r="M45" s="80"/>
      <c r="N45" s="80"/>
      <c r="O45" s="80"/>
      <c r="P45" s="43">
        <f t="shared" si="6"/>
        <v>0</v>
      </c>
    </row>
    <row r="46" spans="3:18" s="12" customFormat="1" x14ac:dyDescent="0.2">
      <c r="C46" s="2" t="s">
        <v>97</v>
      </c>
      <c r="D46" s="83">
        <f>'Lønn '!E17</f>
        <v>1.5</v>
      </c>
      <c r="E46" s="83">
        <f>'Lønn '!F17</f>
        <v>1.5</v>
      </c>
      <c r="F46" s="83">
        <f>'Lønn '!G17</f>
        <v>1.5</v>
      </c>
      <c r="G46" s="83">
        <f>'Lønn '!H17</f>
        <v>1.5</v>
      </c>
      <c r="H46" s="83">
        <f>'Lønn '!I17</f>
        <v>1.5</v>
      </c>
      <c r="I46" s="83">
        <f>'Lønn '!J17</f>
        <v>1.5</v>
      </c>
      <c r="J46" s="83">
        <f>'Lønn '!K17</f>
        <v>1.5</v>
      </c>
      <c r="K46" s="83">
        <f>'Lønn '!L17</f>
        <v>1.5</v>
      </c>
      <c r="L46" s="83">
        <f>'Lønn '!M17</f>
        <v>1.5</v>
      </c>
      <c r="M46" s="83">
        <f>'Lønn '!N17</f>
        <v>1.5</v>
      </c>
      <c r="N46" s="83">
        <f>'Lønn '!O17</f>
        <v>1.5</v>
      </c>
      <c r="O46" s="83">
        <f>'Lønn '!P17</f>
        <v>1.5</v>
      </c>
      <c r="P46" s="43">
        <f t="shared" si="6"/>
        <v>18</v>
      </c>
    </row>
    <row r="47" spans="3:18" s="12" customFormat="1" x14ac:dyDescent="0.2">
      <c r="C47" s="12" t="s">
        <v>62</v>
      </c>
      <c r="D47" s="80"/>
      <c r="E47" s="80"/>
      <c r="F47" s="80"/>
      <c r="G47" s="80"/>
      <c r="H47" s="80"/>
      <c r="I47" s="80"/>
      <c r="J47" s="80"/>
      <c r="K47" s="80"/>
      <c r="L47" s="80"/>
      <c r="M47" s="80"/>
      <c r="N47" s="80"/>
      <c r="O47" s="80"/>
      <c r="P47" s="43">
        <f t="shared" si="6"/>
        <v>0</v>
      </c>
    </row>
    <row r="48" spans="3:18" s="12" customFormat="1" x14ac:dyDescent="0.2">
      <c r="D48" s="80"/>
      <c r="E48" s="80"/>
      <c r="F48" s="80"/>
      <c r="G48" s="80"/>
      <c r="H48" s="80"/>
      <c r="I48" s="80"/>
      <c r="J48" s="80"/>
      <c r="K48" s="80"/>
      <c r="L48" s="80"/>
      <c r="M48" s="80"/>
      <c r="N48" s="80"/>
      <c r="O48" s="80"/>
      <c r="P48" s="43">
        <f t="shared" si="6"/>
        <v>0</v>
      </c>
    </row>
    <row r="49" spans="2:16" s="19" customFormat="1" ht="15" x14ac:dyDescent="0.25">
      <c r="B49" s="46"/>
      <c r="C49" s="46" t="s">
        <v>63</v>
      </c>
      <c r="D49" s="46">
        <f>SUM(D34:D48)</f>
        <v>97.76700000000001</v>
      </c>
      <c r="E49" s="46">
        <f t="shared" ref="E49:O49" si="7">SUM(E34:E48)</f>
        <v>97.76700000000001</v>
      </c>
      <c r="F49" s="46">
        <f t="shared" si="7"/>
        <v>97.76700000000001</v>
      </c>
      <c r="G49" s="46">
        <f t="shared" si="7"/>
        <v>97.76700000000001</v>
      </c>
      <c r="H49" s="46">
        <f t="shared" si="7"/>
        <v>97.76700000000001</v>
      </c>
      <c r="I49" s="46">
        <f t="shared" si="7"/>
        <v>97.76700000000001</v>
      </c>
      <c r="J49" s="46">
        <f t="shared" si="7"/>
        <v>97.76700000000001</v>
      </c>
      <c r="K49" s="46">
        <f t="shared" si="7"/>
        <v>97.76700000000001</v>
      </c>
      <c r="L49" s="46">
        <f t="shared" si="7"/>
        <v>97.76700000000001</v>
      </c>
      <c r="M49" s="46">
        <f t="shared" si="7"/>
        <v>97.76700000000001</v>
      </c>
      <c r="N49" s="46">
        <f t="shared" si="7"/>
        <v>97.76700000000001</v>
      </c>
      <c r="O49" s="46">
        <f t="shared" si="7"/>
        <v>97.76700000000001</v>
      </c>
      <c r="P49" s="46">
        <f>SUM(P34:P48)</f>
        <v>1173.204</v>
      </c>
    </row>
    <row r="50" spans="2:16" s="12" customFormat="1" x14ac:dyDescent="0.2">
      <c r="D50" s="43"/>
      <c r="E50" s="43"/>
      <c r="F50" s="43"/>
      <c r="G50" s="43"/>
      <c r="H50" s="43"/>
      <c r="I50" s="43"/>
      <c r="J50" s="43"/>
      <c r="K50" s="43"/>
      <c r="L50" s="43"/>
      <c r="M50" s="43"/>
      <c r="N50" s="43"/>
      <c r="O50" s="43"/>
      <c r="P50" s="43"/>
    </row>
    <row r="51" spans="2:16" s="12" customFormat="1" ht="18" customHeight="1" x14ac:dyDescent="0.2">
      <c r="C51" s="47" t="s">
        <v>102</v>
      </c>
      <c r="D51" s="43"/>
      <c r="E51" s="43"/>
      <c r="F51" s="43"/>
      <c r="G51" s="43"/>
      <c r="H51" s="43"/>
      <c r="I51" s="43"/>
      <c r="J51" s="43"/>
      <c r="K51" s="43"/>
      <c r="L51" s="43"/>
      <c r="M51" s="43"/>
      <c r="N51" s="43"/>
      <c r="O51" s="43"/>
      <c r="P51" s="43"/>
    </row>
    <row r="52" spans="2:16" s="12" customFormat="1" x14ac:dyDescent="0.2">
      <c r="C52" s="90" t="s">
        <v>114</v>
      </c>
      <c r="D52" s="80">
        <v>3</v>
      </c>
      <c r="E52" s="91">
        <v>3</v>
      </c>
      <c r="F52" s="91">
        <v>3</v>
      </c>
      <c r="G52" s="91">
        <v>3</v>
      </c>
      <c r="H52" s="91">
        <v>3</v>
      </c>
      <c r="I52" s="91">
        <v>3</v>
      </c>
      <c r="J52" s="91">
        <v>3</v>
      </c>
      <c r="K52" s="91">
        <v>3</v>
      </c>
      <c r="L52" s="91">
        <v>3</v>
      </c>
      <c r="M52" s="91">
        <v>3</v>
      </c>
      <c r="N52" s="91">
        <v>3</v>
      </c>
      <c r="O52" s="91">
        <v>3</v>
      </c>
      <c r="P52" s="43">
        <f>SUM(D52:O52)</f>
        <v>36</v>
      </c>
    </row>
    <row r="53" spans="2:16" s="12" customFormat="1" x14ac:dyDescent="0.2">
      <c r="C53" s="90" t="s">
        <v>115</v>
      </c>
      <c r="D53" s="80">
        <v>5</v>
      </c>
      <c r="E53" s="91">
        <v>5</v>
      </c>
      <c r="F53" s="91">
        <v>5</v>
      </c>
      <c r="G53" s="91">
        <v>5</v>
      </c>
      <c r="H53" s="91">
        <v>5</v>
      </c>
      <c r="I53" s="91">
        <v>5</v>
      </c>
      <c r="J53" s="91">
        <v>5</v>
      </c>
      <c r="K53" s="91">
        <v>5</v>
      </c>
      <c r="L53" s="91">
        <v>5</v>
      </c>
      <c r="M53" s="91">
        <v>5</v>
      </c>
      <c r="N53" s="91">
        <v>5</v>
      </c>
      <c r="O53" s="91">
        <v>5</v>
      </c>
      <c r="P53" s="43">
        <f t="shared" ref="P53:P82" si="8">SUM(D53:O53)</f>
        <v>60</v>
      </c>
    </row>
    <row r="54" spans="2:16" s="12" customFormat="1" x14ac:dyDescent="0.2">
      <c r="C54" s="90" t="s">
        <v>116</v>
      </c>
      <c r="D54" s="80">
        <v>2</v>
      </c>
      <c r="E54" s="91">
        <v>2</v>
      </c>
      <c r="F54" s="91">
        <v>2</v>
      </c>
      <c r="G54" s="91">
        <v>2</v>
      </c>
      <c r="H54" s="91">
        <v>2</v>
      </c>
      <c r="I54" s="91">
        <v>2</v>
      </c>
      <c r="J54" s="91">
        <v>2</v>
      </c>
      <c r="K54" s="91">
        <v>2</v>
      </c>
      <c r="L54" s="91">
        <v>2</v>
      </c>
      <c r="M54" s="91">
        <v>2</v>
      </c>
      <c r="N54" s="91">
        <v>2</v>
      </c>
      <c r="O54" s="91">
        <v>2</v>
      </c>
      <c r="P54" s="43">
        <f t="shared" si="8"/>
        <v>24</v>
      </c>
    </row>
    <row r="55" spans="2:16" s="12" customFormat="1" x14ac:dyDescent="0.2">
      <c r="C55" s="90" t="s">
        <v>117</v>
      </c>
      <c r="D55" s="80">
        <v>1</v>
      </c>
      <c r="E55" s="91">
        <v>1</v>
      </c>
      <c r="F55" s="91">
        <v>1</v>
      </c>
      <c r="G55" s="91">
        <v>1</v>
      </c>
      <c r="H55" s="91">
        <v>1</v>
      </c>
      <c r="I55" s="91">
        <v>1</v>
      </c>
      <c r="J55" s="91">
        <v>1</v>
      </c>
      <c r="K55" s="91">
        <v>1</v>
      </c>
      <c r="L55" s="91">
        <v>1</v>
      </c>
      <c r="M55" s="91">
        <v>1</v>
      </c>
      <c r="N55" s="91">
        <v>1</v>
      </c>
      <c r="O55" s="91">
        <v>1</v>
      </c>
      <c r="P55" s="43">
        <f t="shared" si="8"/>
        <v>12</v>
      </c>
    </row>
    <row r="56" spans="2:16" s="12" customFormat="1" x14ac:dyDescent="0.2">
      <c r="C56" s="90" t="s">
        <v>118</v>
      </c>
      <c r="D56" s="80">
        <v>1</v>
      </c>
      <c r="E56" s="91">
        <v>1</v>
      </c>
      <c r="F56" s="91">
        <v>1</v>
      </c>
      <c r="G56" s="91">
        <v>1</v>
      </c>
      <c r="H56" s="91">
        <v>1</v>
      </c>
      <c r="I56" s="91">
        <v>1</v>
      </c>
      <c r="J56" s="91">
        <v>1</v>
      </c>
      <c r="K56" s="91">
        <v>1</v>
      </c>
      <c r="L56" s="91">
        <v>1</v>
      </c>
      <c r="M56" s="91">
        <v>1</v>
      </c>
      <c r="N56" s="91">
        <v>1</v>
      </c>
      <c r="O56" s="91">
        <v>1</v>
      </c>
      <c r="P56" s="43">
        <f t="shared" si="8"/>
        <v>12</v>
      </c>
    </row>
    <row r="57" spans="2:16" s="12" customFormat="1" x14ac:dyDescent="0.2">
      <c r="C57" s="90" t="s">
        <v>119</v>
      </c>
      <c r="D57" s="80">
        <v>2</v>
      </c>
      <c r="E57" s="91">
        <v>2</v>
      </c>
      <c r="F57" s="91">
        <v>2</v>
      </c>
      <c r="G57" s="91">
        <v>2</v>
      </c>
      <c r="H57" s="91">
        <v>2</v>
      </c>
      <c r="I57" s="91">
        <v>2</v>
      </c>
      <c r="J57" s="91">
        <v>2</v>
      </c>
      <c r="K57" s="91">
        <v>2</v>
      </c>
      <c r="L57" s="91">
        <v>2</v>
      </c>
      <c r="M57" s="91">
        <v>2</v>
      </c>
      <c r="N57" s="91">
        <v>2</v>
      </c>
      <c r="O57" s="91">
        <v>2</v>
      </c>
      <c r="P57" s="43">
        <f t="shared" si="8"/>
        <v>24</v>
      </c>
    </row>
    <row r="58" spans="2:16" s="12" customFormat="1" x14ac:dyDescent="0.2">
      <c r="C58" s="90" t="s">
        <v>120</v>
      </c>
      <c r="D58" s="80">
        <v>5</v>
      </c>
      <c r="E58" s="91">
        <v>5</v>
      </c>
      <c r="F58" s="91">
        <v>5</v>
      </c>
      <c r="G58" s="91">
        <v>5</v>
      </c>
      <c r="H58" s="91">
        <v>5</v>
      </c>
      <c r="I58" s="91">
        <v>5</v>
      </c>
      <c r="J58" s="91">
        <v>5</v>
      </c>
      <c r="K58" s="91">
        <v>5</v>
      </c>
      <c r="L58" s="91">
        <v>5</v>
      </c>
      <c r="M58" s="91">
        <v>5</v>
      </c>
      <c r="N58" s="91">
        <v>5</v>
      </c>
      <c r="O58" s="91">
        <v>5</v>
      </c>
      <c r="P58" s="43">
        <f t="shared" si="8"/>
        <v>60</v>
      </c>
    </row>
    <row r="59" spans="2:16" s="12" customFormat="1" x14ac:dyDescent="0.2">
      <c r="C59" s="93" t="s">
        <v>121</v>
      </c>
      <c r="D59" s="80">
        <v>2</v>
      </c>
      <c r="E59" s="91">
        <v>2</v>
      </c>
      <c r="F59" s="91">
        <v>2</v>
      </c>
      <c r="G59" s="91">
        <v>2</v>
      </c>
      <c r="H59" s="91">
        <v>2</v>
      </c>
      <c r="I59" s="91">
        <v>2</v>
      </c>
      <c r="J59" s="91">
        <v>2</v>
      </c>
      <c r="K59" s="91">
        <v>2</v>
      </c>
      <c r="L59" s="91">
        <v>2</v>
      </c>
      <c r="M59" s="91">
        <v>2</v>
      </c>
      <c r="N59" s="91">
        <v>2</v>
      </c>
      <c r="O59" s="91">
        <v>2</v>
      </c>
      <c r="P59" s="43">
        <f t="shared" si="8"/>
        <v>24</v>
      </c>
    </row>
    <row r="60" spans="2:16" s="12" customFormat="1" x14ac:dyDescent="0.2">
      <c r="C60" s="90" t="s">
        <v>122</v>
      </c>
      <c r="D60" s="80"/>
      <c r="E60" s="91"/>
      <c r="F60" s="91">
        <v>3</v>
      </c>
      <c r="G60" s="91"/>
      <c r="H60" s="91"/>
      <c r="I60" s="91"/>
      <c r="J60" s="91"/>
      <c r="K60" s="91"/>
      <c r="L60" s="91"/>
      <c r="M60" s="91"/>
      <c r="N60" s="91"/>
      <c r="O60" s="91"/>
      <c r="P60" s="43">
        <f t="shared" si="8"/>
        <v>3</v>
      </c>
    </row>
    <row r="61" spans="2:16" s="12" customFormat="1" x14ac:dyDescent="0.2">
      <c r="C61" s="90" t="s">
        <v>124</v>
      </c>
      <c r="D61" s="80">
        <v>5</v>
      </c>
      <c r="E61" s="91">
        <v>5</v>
      </c>
      <c r="F61" s="91">
        <v>5</v>
      </c>
      <c r="G61" s="91">
        <v>5</v>
      </c>
      <c r="H61" s="91">
        <v>5</v>
      </c>
      <c r="I61" s="91">
        <v>5</v>
      </c>
      <c r="J61" s="91">
        <v>5</v>
      </c>
      <c r="K61" s="91">
        <v>5</v>
      </c>
      <c r="L61" s="91">
        <v>5</v>
      </c>
      <c r="M61" s="91">
        <v>5</v>
      </c>
      <c r="N61" s="91">
        <v>5</v>
      </c>
      <c r="O61" s="91">
        <v>5</v>
      </c>
      <c r="P61" s="43">
        <f t="shared" si="8"/>
        <v>60</v>
      </c>
    </row>
    <row r="62" spans="2:16" s="12" customFormat="1" x14ac:dyDescent="0.2">
      <c r="C62" s="92" t="s">
        <v>123</v>
      </c>
      <c r="D62" s="80"/>
      <c r="E62" s="91"/>
      <c r="F62" s="91">
        <v>4</v>
      </c>
      <c r="G62" s="91"/>
      <c r="H62" s="91"/>
      <c r="I62" s="91"/>
      <c r="J62" s="91">
        <v>5</v>
      </c>
      <c r="K62" s="91"/>
      <c r="L62" s="91"/>
      <c r="M62" s="91"/>
      <c r="N62" s="91">
        <v>5</v>
      </c>
      <c r="O62" s="91"/>
      <c r="P62" s="43">
        <f t="shared" si="8"/>
        <v>14</v>
      </c>
    </row>
    <row r="63" spans="2:16" s="12" customFormat="1" x14ac:dyDescent="0.2">
      <c r="C63" s="90" t="s">
        <v>125</v>
      </c>
      <c r="D63" s="80">
        <v>3</v>
      </c>
      <c r="E63" s="91">
        <v>3</v>
      </c>
      <c r="F63" s="91">
        <v>3</v>
      </c>
      <c r="G63" s="91">
        <v>3</v>
      </c>
      <c r="H63" s="91">
        <v>3</v>
      </c>
      <c r="I63" s="91">
        <v>3</v>
      </c>
      <c r="J63" s="91">
        <v>3</v>
      </c>
      <c r="K63" s="91">
        <v>3</v>
      </c>
      <c r="L63" s="91">
        <v>3</v>
      </c>
      <c r="M63" s="91">
        <v>3</v>
      </c>
      <c r="N63" s="91">
        <v>3</v>
      </c>
      <c r="O63" s="91">
        <v>3</v>
      </c>
      <c r="P63" s="43">
        <f t="shared" si="8"/>
        <v>36</v>
      </c>
    </row>
    <row r="64" spans="2:16" s="12" customFormat="1" x14ac:dyDescent="0.2">
      <c r="C64" s="90" t="s">
        <v>126</v>
      </c>
      <c r="D64" s="80"/>
      <c r="E64" s="80"/>
      <c r="F64" s="80">
        <v>2</v>
      </c>
      <c r="G64" s="80"/>
      <c r="H64" s="80"/>
      <c r="I64" s="80">
        <v>2</v>
      </c>
      <c r="J64" s="80"/>
      <c r="K64" s="80"/>
      <c r="L64" s="80"/>
      <c r="M64" s="80">
        <v>2</v>
      </c>
      <c r="N64" s="80"/>
      <c r="O64" s="80"/>
      <c r="P64" s="43">
        <f t="shared" si="8"/>
        <v>6</v>
      </c>
    </row>
    <row r="65" spans="3:16" s="12" customFormat="1" x14ac:dyDescent="0.2">
      <c r="C65" s="90" t="s">
        <v>127</v>
      </c>
      <c r="D65" s="80">
        <v>2</v>
      </c>
      <c r="E65" s="91">
        <v>2</v>
      </c>
      <c r="F65" s="91">
        <v>2</v>
      </c>
      <c r="G65" s="91">
        <v>2</v>
      </c>
      <c r="H65" s="91">
        <v>2</v>
      </c>
      <c r="I65" s="91">
        <v>2</v>
      </c>
      <c r="J65" s="91">
        <v>2</v>
      </c>
      <c r="K65" s="91">
        <v>2</v>
      </c>
      <c r="L65" s="91">
        <v>2</v>
      </c>
      <c r="M65" s="91">
        <v>2</v>
      </c>
      <c r="N65" s="91">
        <v>2</v>
      </c>
      <c r="O65" s="91">
        <v>2</v>
      </c>
      <c r="P65" s="43">
        <f t="shared" si="8"/>
        <v>24</v>
      </c>
    </row>
    <row r="66" spans="3:16" s="12" customFormat="1" x14ac:dyDescent="0.2">
      <c r="C66" s="90" t="s">
        <v>128</v>
      </c>
      <c r="D66" s="80">
        <v>1</v>
      </c>
      <c r="E66" s="91">
        <v>1</v>
      </c>
      <c r="F66" s="91">
        <v>1</v>
      </c>
      <c r="G66" s="91">
        <v>1</v>
      </c>
      <c r="H66" s="91">
        <v>1</v>
      </c>
      <c r="I66" s="91">
        <v>1</v>
      </c>
      <c r="J66" s="91">
        <v>1</v>
      </c>
      <c r="K66" s="91">
        <v>1</v>
      </c>
      <c r="L66" s="91">
        <v>1</v>
      </c>
      <c r="M66" s="91">
        <v>1</v>
      </c>
      <c r="N66" s="91">
        <v>1</v>
      </c>
      <c r="O66" s="91">
        <v>1</v>
      </c>
      <c r="P66" s="43">
        <f t="shared" si="8"/>
        <v>12</v>
      </c>
    </row>
    <row r="67" spans="3:16" s="12" customFormat="1" x14ac:dyDescent="0.2">
      <c r="C67" s="90" t="s">
        <v>129</v>
      </c>
      <c r="D67" s="80"/>
      <c r="E67" s="91"/>
      <c r="F67" s="91">
        <v>3</v>
      </c>
      <c r="G67" s="91"/>
      <c r="H67" s="91"/>
      <c r="I67" s="91"/>
      <c r="J67" s="91">
        <v>3</v>
      </c>
      <c r="K67" s="91"/>
      <c r="L67" s="91"/>
      <c r="M67" s="91">
        <v>3</v>
      </c>
      <c r="N67" s="91"/>
      <c r="O67" s="91"/>
      <c r="P67" s="43">
        <f t="shared" si="8"/>
        <v>9</v>
      </c>
    </row>
    <row r="68" spans="3:16" s="12" customFormat="1" x14ac:dyDescent="0.2">
      <c r="C68" s="90"/>
      <c r="D68" s="80"/>
      <c r="E68" s="91"/>
      <c r="F68" s="91"/>
      <c r="G68" s="91"/>
      <c r="H68" s="91"/>
      <c r="I68" s="91"/>
      <c r="J68" s="91"/>
      <c r="K68" s="91"/>
      <c r="L68" s="91"/>
      <c r="M68" s="91"/>
      <c r="N68" s="91"/>
      <c r="O68" s="91"/>
      <c r="P68" s="43">
        <f t="shared" si="8"/>
        <v>0</v>
      </c>
    </row>
    <row r="69" spans="3:16" s="12" customFormat="1" x14ac:dyDescent="0.2">
      <c r="C69" s="90"/>
      <c r="D69" s="80"/>
      <c r="E69" s="91"/>
      <c r="F69" s="91"/>
      <c r="G69" s="91"/>
      <c r="H69" s="91"/>
      <c r="I69" s="91"/>
      <c r="J69" s="91"/>
      <c r="K69" s="91"/>
      <c r="L69" s="91"/>
      <c r="M69" s="91"/>
      <c r="N69" s="91"/>
      <c r="O69" s="91"/>
      <c r="P69" s="43">
        <f t="shared" si="8"/>
        <v>0</v>
      </c>
    </row>
    <row r="70" spans="3:16" s="12" customFormat="1" x14ac:dyDescent="0.2">
      <c r="C70" s="90"/>
      <c r="D70" s="80"/>
      <c r="E70" s="91"/>
      <c r="F70" s="91"/>
      <c r="G70" s="91"/>
      <c r="H70" s="91"/>
      <c r="I70" s="91"/>
      <c r="J70" s="91"/>
      <c r="K70" s="91"/>
      <c r="L70" s="91"/>
      <c r="M70" s="91"/>
      <c r="N70" s="91"/>
      <c r="O70" s="91"/>
      <c r="P70" s="43">
        <f t="shared" si="8"/>
        <v>0</v>
      </c>
    </row>
    <row r="71" spans="3:16" s="12" customFormat="1" x14ac:dyDescent="0.2">
      <c r="C71" s="80"/>
      <c r="D71" s="80"/>
      <c r="E71" s="80"/>
      <c r="F71" s="80"/>
      <c r="G71" s="80"/>
      <c r="H71" s="80"/>
      <c r="I71" s="80"/>
      <c r="J71" s="80"/>
      <c r="K71" s="80"/>
      <c r="L71" s="80"/>
      <c r="M71" s="80"/>
      <c r="N71" s="80"/>
      <c r="O71" s="80"/>
      <c r="P71" s="43">
        <f t="shared" si="8"/>
        <v>0</v>
      </c>
    </row>
    <row r="72" spans="3:16" s="12" customFormat="1" x14ac:dyDescent="0.2">
      <c r="C72" s="80"/>
      <c r="D72" s="80"/>
      <c r="E72" s="80"/>
      <c r="F72" s="80"/>
      <c r="G72" s="80"/>
      <c r="H72" s="80"/>
      <c r="I72" s="80"/>
      <c r="J72" s="80"/>
      <c r="K72" s="80"/>
      <c r="L72" s="80"/>
      <c r="M72" s="80"/>
      <c r="N72" s="80"/>
      <c r="O72" s="80"/>
      <c r="P72" s="43">
        <f t="shared" si="8"/>
        <v>0</v>
      </c>
    </row>
    <row r="73" spans="3:16" s="12" customFormat="1" x14ac:dyDescent="0.2">
      <c r="C73" s="80"/>
      <c r="D73" s="80"/>
      <c r="E73" s="80"/>
      <c r="F73" s="80"/>
      <c r="G73" s="80"/>
      <c r="H73" s="80"/>
      <c r="I73" s="80"/>
      <c r="J73" s="80"/>
      <c r="K73" s="80"/>
      <c r="L73" s="80"/>
      <c r="M73" s="80"/>
      <c r="N73" s="80"/>
      <c r="O73" s="80"/>
      <c r="P73" s="43">
        <f t="shared" si="8"/>
        <v>0</v>
      </c>
    </row>
    <row r="74" spans="3:16" s="12" customFormat="1" x14ac:dyDescent="0.2">
      <c r="C74" s="80"/>
      <c r="D74" s="80"/>
      <c r="E74" s="80"/>
      <c r="F74" s="80"/>
      <c r="G74" s="80"/>
      <c r="H74" s="80"/>
      <c r="I74" s="80"/>
      <c r="J74" s="80"/>
      <c r="K74" s="80"/>
      <c r="L74" s="80"/>
      <c r="M74" s="80"/>
      <c r="N74" s="80"/>
      <c r="O74" s="80"/>
      <c r="P74" s="43">
        <f t="shared" si="8"/>
        <v>0</v>
      </c>
    </row>
    <row r="75" spans="3:16" s="12" customFormat="1" x14ac:dyDescent="0.2">
      <c r="C75" s="80"/>
      <c r="D75" s="80"/>
      <c r="E75" s="80"/>
      <c r="F75" s="80"/>
      <c r="G75" s="80"/>
      <c r="H75" s="80"/>
      <c r="I75" s="80"/>
      <c r="J75" s="80"/>
      <c r="K75" s="80"/>
      <c r="L75" s="80"/>
      <c r="M75" s="80"/>
      <c r="N75" s="80"/>
      <c r="O75" s="80"/>
      <c r="P75" s="43">
        <f t="shared" si="8"/>
        <v>0</v>
      </c>
    </row>
    <row r="76" spans="3:16" s="12" customFormat="1" x14ac:dyDescent="0.2">
      <c r="C76" s="80"/>
      <c r="D76" s="80"/>
      <c r="E76" s="80"/>
      <c r="F76" s="80"/>
      <c r="G76" s="80"/>
      <c r="H76" s="80"/>
      <c r="I76" s="80"/>
      <c r="J76" s="80"/>
      <c r="K76" s="80"/>
      <c r="L76" s="80"/>
      <c r="M76" s="80"/>
      <c r="N76" s="80"/>
      <c r="O76" s="80"/>
      <c r="P76" s="43">
        <f t="shared" si="8"/>
        <v>0</v>
      </c>
    </row>
    <row r="77" spans="3:16" s="12" customFormat="1" x14ac:dyDescent="0.2">
      <c r="C77" s="80"/>
      <c r="D77" s="80"/>
      <c r="E77" s="80"/>
      <c r="F77" s="80"/>
      <c r="G77" s="80"/>
      <c r="H77" s="80"/>
      <c r="I77" s="80"/>
      <c r="J77" s="80"/>
      <c r="K77" s="80"/>
      <c r="L77" s="80"/>
      <c r="M77" s="80"/>
      <c r="N77" s="80"/>
      <c r="O77" s="80"/>
      <c r="P77" s="43">
        <f t="shared" si="8"/>
        <v>0</v>
      </c>
    </row>
    <row r="78" spans="3:16" s="12" customFormat="1" x14ac:dyDescent="0.2">
      <c r="C78" s="80"/>
      <c r="D78" s="80"/>
      <c r="E78" s="80"/>
      <c r="F78" s="80"/>
      <c r="G78" s="80"/>
      <c r="H78" s="80"/>
      <c r="I78" s="80"/>
      <c r="J78" s="80"/>
      <c r="K78" s="80"/>
      <c r="L78" s="80"/>
      <c r="M78" s="80"/>
      <c r="N78" s="80"/>
      <c r="O78" s="80"/>
      <c r="P78" s="43">
        <f t="shared" si="8"/>
        <v>0</v>
      </c>
    </row>
    <row r="79" spans="3:16" s="12" customFormat="1" x14ac:dyDescent="0.2">
      <c r="C79" s="80"/>
      <c r="D79" s="80"/>
      <c r="E79" s="80"/>
      <c r="F79" s="80"/>
      <c r="G79" s="80"/>
      <c r="H79" s="80"/>
      <c r="I79" s="80"/>
      <c r="J79" s="80"/>
      <c r="K79" s="80"/>
      <c r="L79" s="80"/>
      <c r="M79" s="80"/>
      <c r="N79" s="80"/>
      <c r="O79" s="80"/>
      <c r="P79" s="43">
        <f t="shared" si="8"/>
        <v>0</v>
      </c>
    </row>
    <row r="80" spans="3:16" s="12" customFormat="1" x14ac:dyDescent="0.2">
      <c r="C80" s="80"/>
      <c r="D80" s="80"/>
      <c r="E80" s="80"/>
      <c r="F80" s="80"/>
      <c r="G80" s="80"/>
      <c r="H80" s="80"/>
      <c r="I80" s="80"/>
      <c r="J80" s="80"/>
      <c r="K80" s="80"/>
      <c r="L80" s="80"/>
      <c r="M80" s="80"/>
      <c r="N80" s="80"/>
      <c r="O80" s="80"/>
      <c r="P80" s="43">
        <f t="shared" si="8"/>
        <v>0</v>
      </c>
    </row>
    <row r="81" spans="2:17" s="12" customFormat="1" x14ac:dyDescent="0.2">
      <c r="C81" s="80"/>
      <c r="D81" s="80"/>
      <c r="E81" s="80"/>
      <c r="F81" s="80"/>
      <c r="G81" s="80"/>
      <c r="H81" s="80"/>
      <c r="I81" s="80"/>
      <c r="J81" s="80"/>
      <c r="K81" s="80"/>
      <c r="L81" s="80"/>
      <c r="M81" s="80"/>
      <c r="N81" s="80"/>
      <c r="O81" s="80"/>
      <c r="P81" s="43">
        <f t="shared" si="8"/>
        <v>0</v>
      </c>
    </row>
    <row r="82" spans="2:17" s="12" customFormat="1" x14ac:dyDescent="0.2">
      <c r="C82" s="80"/>
      <c r="D82" s="80"/>
      <c r="E82" s="80"/>
      <c r="F82" s="80"/>
      <c r="G82" s="80"/>
      <c r="H82" s="80"/>
      <c r="I82" s="80"/>
      <c r="J82" s="80"/>
      <c r="K82" s="80"/>
      <c r="L82" s="80"/>
      <c r="M82" s="80"/>
      <c r="N82" s="80"/>
      <c r="O82" s="80"/>
      <c r="P82" s="43">
        <f t="shared" si="8"/>
        <v>0</v>
      </c>
    </row>
    <row r="83" spans="2:17" s="19" customFormat="1" ht="15" x14ac:dyDescent="0.25">
      <c r="B83" s="46"/>
      <c r="C83" s="46" t="s">
        <v>64</v>
      </c>
      <c r="D83" s="46">
        <f t="shared" ref="D83:O83" si="9">SUM(D52:D82)</f>
        <v>32</v>
      </c>
      <c r="E83" s="46">
        <f t="shared" si="9"/>
        <v>32</v>
      </c>
      <c r="F83" s="46">
        <f t="shared" si="9"/>
        <v>44</v>
      </c>
      <c r="G83" s="46">
        <f t="shared" si="9"/>
        <v>32</v>
      </c>
      <c r="H83" s="46">
        <f t="shared" si="9"/>
        <v>32</v>
      </c>
      <c r="I83" s="46">
        <f t="shared" si="9"/>
        <v>34</v>
      </c>
      <c r="J83" s="46">
        <f t="shared" si="9"/>
        <v>40</v>
      </c>
      <c r="K83" s="46">
        <f t="shared" si="9"/>
        <v>32</v>
      </c>
      <c r="L83" s="46">
        <f t="shared" si="9"/>
        <v>32</v>
      </c>
      <c r="M83" s="46">
        <f t="shared" si="9"/>
        <v>37</v>
      </c>
      <c r="N83" s="46">
        <f t="shared" si="9"/>
        <v>37</v>
      </c>
      <c r="O83" s="46">
        <f t="shared" si="9"/>
        <v>32</v>
      </c>
      <c r="P83" s="46">
        <f>SUM(P52:P82)</f>
        <v>416</v>
      </c>
      <c r="Q83" s="46"/>
    </row>
    <row r="84" spans="2:17" s="12" customFormat="1" x14ac:dyDescent="0.2"/>
    <row r="85" spans="2:17" s="12" customFormat="1" ht="15" x14ac:dyDescent="0.2">
      <c r="C85" s="47" t="s">
        <v>103</v>
      </c>
      <c r="D85" s="43"/>
      <c r="E85" s="43"/>
      <c r="F85" s="43"/>
      <c r="G85" s="43"/>
      <c r="H85" s="43"/>
      <c r="I85" s="43"/>
      <c r="J85" s="43"/>
      <c r="K85" s="43"/>
      <c r="L85" s="43"/>
      <c r="M85" s="43"/>
      <c r="N85" s="43"/>
      <c r="O85" s="43"/>
      <c r="P85" s="43"/>
    </row>
    <row r="86" spans="2:17" s="12" customFormat="1" x14ac:dyDescent="0.2">
      <c r="C86" s="90" t="s">
        <v>130</v>
      </c>
      <c r="D86" s="80"/>
      <c r="E86" s="91"/>
      <c r="F86" s="91">
        <v>2</v>
      </c>
      <c r="G86" s="91"/>
      <c r="H86" s="91"/>
      <c r="I86" s="91">
        <v>2</v>
      </c>
      <c r="J86" s="91"/>
      <c r="K86" s="91"/>
      <c r="L86" s="91">
        <v>2</v>
      </c>
      <c r="M86" s="91"/>
      <c r="N86" s="91"/>
      <c r="O86" s="91">
        <v>2</v>
      </c>
      <c r="P86" s="43">
        <f>SUM(D86:O86)</f>
        <v>8</v>
      </c>
    </row>
    <row r="87" spans="2:17" s="12" customFormat="1" x14ac:dyDescent="0.2">
      <c r="C87" s="90" t="s">
        <v>131</v>
      </c>
      <c r="D87" s="80"/>
      <c r="E87" s="91"/>
      <c r="F87" s="91"/>
      <c r="G87" s="91"/>
      <c r="H87" s="91"/>
      <c r="I87" s="91"/>
      <c r="J87" s="91"/>
      <c r="K87" s="91"/>
      <c r="L87" s="91"/>
      <c r="M87" s="91"/>
      <c r="N87" s="91"/>
      <c r="O87" s="91"/>
      <c r="P87" s="43">
        <f t="shared" ref="P87:P109" si="10">SUM(D87:O87)</f>
        <v>0</v>
      </c>
    </row>
    <row r="88" spans="2:17" s="12" customFormat="1" x14ac:dyDescent="0.2">
      <c r="C88" s="90" t="s">
        <v>132</v>
      </c>
      <c r="D88" s="80"/>
      <c r="E88" s="91">
        <v>2</v>
      </c>
      <c r="F88" s="91"/>
      <c r="G88" s="91"/>
      <c r="H88" s="91">
        <v>2</v>
      </c>
      <c r="I88" s="91"/>
      <c r="J88" s="91"/>
      <c r="K88" s="91">
        <v>2</v>
      </c>
      <c r="L88" s="91"/>
      <c r="M88" s="91"/>
      <c r="N88" s="91">
        <v>2</v>
      </c>
      <c r="O88" s="91"/>
      <c r="P88" s="43">
        <f t="shared" si="10"/>
        <v>8</v>
      </c>
    </row>
    <row r="89" spans="2:17" s="12" customFormat="1" x14ac:dyDescent="0.2">
      <c r="C89" s="90" t="s">
        <v>133</v>
      </c>
      <c r="D89" s="80">
        <v>2</v>
      </c>
      <c r="E89" s="91">
        <v>2</v>
      </c>
      <c r="F89" s="91">
        <v>2</v>
      </c>
      <c r="G89" s="91">
        <v>2</v>
      </c>
      <c r="H89" s="91">
        <v>2</v>
      </c>
      <c r="I89" s="91">
        <v>2</v>
      </c>
      <c r="J89" s="91">
        <v>2</v>
      </c>
      <c r="K89" s="91">
        <v>2</v>
      </c>
      <c r="L89" s="91">
        <v>2</v>
      </c>
      <c r="M89" s="91">
        <v>2</v>
      </c>
      <c r="N89" s="91">
        <v>2</v>
      </c>
      <c r="O89" s="91">
        <v>2</v>
      </c>
      <c r="P89" s="43">
        <f t="shared" si="10"/>
        <v>24</v>
      </c>
    </row>
    <row r="90" spans="2:17" s="12" customFormat="1" x14ac:dyDescent="0.2">
      <c r="C90" s="90" t="s">
        <v>134</v>
      </c>
      <c r="D90" s="80">
        <v>1</v>
      </c>
      <c r="E90" s="91">
        <v>1</v>
      </c>
      <c r="F90" s="91">
        <v>1</v>
      </c>
      <c r="G90" s="91">
        <v>1</v>
      </c>
      <c r="H90" s="91">
        <v>1</v>
      </c>
      <c r="I90" s="91">
        <v>1</v>
      </c>
      <c r="J90" s="91">
        <v>1</v>
      </c>
      <c r="K90" s="91">
        <v>1</v>
      </c>
      <c r="L90" s="91">
        <v>1</v>
      </c>
      <c r="M90" s="91">
        <v>1</v>
      </c>
      <c r="N90" s="91">
        <v>1</v>
      </c>
      <c r="O90" s="91">
        <v>1</v>
      </c>
      <c r="P90" s="43">
        <f t="shared" si="10"/>
        <v>12</v>
      </c>
    </row>
    <row r="91" spans="2:17" s="12" customFormat="1" x14ac:dyDescent="0.2">
      <c r="C91" s="80" t="s">
        <v>136</v>
      </c>
      <c r="D91" s="80"/>
      <c r="E91" s="80"/>
      <c r="F91" s="80"/>
      <c r="G91" s="80"/>
      <c r="H91" s="80"/>
      <c r="I91" s="80"/>
      <c r="J91" s="80"/>
      <c r="K91" s="80"/>
      <c r="L91" s="80"/>
      <c r="M91" s="80"/>
      <c r="N91" s="80"/>
      <c r="O91" s="80"/>
      <c r="P91" s="43">
        <f t="shared" si="10"/>
        <v>0</v>
      </c>
    </row>
    <row r="92" spans="2:17" s="12" customFormat="1" x14ac:dyDescent="0.2">
      <c r="C92" s="80" t="s">
        <v>135</v>
      </c>
      <c r="D92" s="80"/>
      <c r="E92" s="80"/>
      <c r="F92" s="80"/>
      <c r="G92" s="80"/>
      <c r="H92" s="80"/>
      <c r="I92" s="80"/>
      <c r="J92" s="80"/>
      <c r="K92" s="80"/>
      <c r="L92" s="80"/>
      <c r="M92" s="80"/>
      <c r="N92" s="80"/>
      <c r="O92" s="80">
        <v>1</v>
      </c>
      <c r="P92" s="43">
        <f t="shared" si="10"/>
        <v>1</v>
      </c>
    </row>
    <row r="93" spans="2:17" s="12" customFormat="1" x14ac:dyDescent="0.2">
      <c r="C93" s="80" t="s">
        <v>137</v>
      </c>
      <c r="D93" s="80"/>
      <c r="E93" s="80"/>
      <c r="F93" s="80"/>
      <c r="G93" s="80"/>
      <c r="H93" s="80"/>
      <c r="I93" s="80"/>
      <c r="J93" s="80"/>
      <c r="K93" s="80"/>
      <c r="L93" s="80"/>
      <c r="M93" s="80"/>
      <c r="N93" s="80"/>
      <c r="O93" s="80"/>
      <c r="P93" s="43">
        <f t="shared" si="10"/>
        <v>0</v>
      </c>
    </row>
    <row r="94" spans="2:17" s="12" customFormat="1" x14ac:dyDescent="0.2">
      <c r="C94" s="80" t="s">
        <v>138</v>
      </c>
      <c r="D94" s="80"/>
      <c r="E94" s="80"/>
      <c r="F94" s="80"/>
      <c r="G94" s="80"/>
      <c r="H94" s="80"/>
      <c r="I94" s="80"/>
      <c r="J94" s="80"/>
      <c r="K94" s="80"/>
      <c r="L94" s="80"/>
      <c r="M94" s="80"/>
      <c r="N94" s="80"/>
      <c r="O94" s="80">
        <v>2</v>
      </c>
      <c r="P94" s="43">
        <f t="shared" si="10"/>
        <v>2</v>
      </c>
    </row>
    <row r="95" spans="2:17" s="12" customFormat="1" x14ac:dyDescent="0.2">
      <c r="C95" s="80" t="s">
        <v>139</v>
      </c>
      <c r="D95" s="80"/>
      <c r="E95" s="80"/>
      <c r="F95" s="80"/>
      <c r="G95" s="80">
        <v>15</v>
      </c>
      <c r="H95" s="80"/>
      <c r="I95" s="80"/>
      <c r="J95" s="80"/>
      <c r="K95" s="80"/>
      <c r="L95" s="80"/>
      <c r="M95" s="80">
        <v>15</v>
      </c>
      <c r="N95" s="80"/>
      <c r="O95" s="80"/>
      <c r="P95" s="43">
        <f t="shared" si="10"/>
        <v>30</v>
      </c>
    </row>
    <row r="96" spans="2:17" s="12" customFormat="1" x14ac:dyDescent="0.2">
      <c r="C96" s="80" t="s">
        <v>140</v>
      </c>
      <c r="D96" s="80"/>
      <c r="E96" s="80"/>
      <c r="F96" s="80">
        <v>1</v>
      </c>
      <c r="G96" s="80"/>
      <c r="H96" s="80"/>
      <c r="I96" s="80">
        <v>1</v>
      </c>
      <c r="J96" s="80"/>
      <c r="K96" s="80"/>
      <c r="L96" s="80">
        <v>1</v>
      </c>
      <c r="M96" s="80"/>
      <c r="N96" s="80">
        <v>1</v>
      </c>
      <c r="O96" s="80"/>
      <c r="P96" s="43">
        <f t="shared" si="10"/>
        <v>4</v>
      </c>
    </row>
    <row r="97" spans="2:17" s="12" customFormat="1" x14ac:dyDescent="0.2">
      <c r="C97" s="80"/>
      <c r="D97" s="80"/>
      <c r="E97" s="80"/>
      <c r="F97" s="80"/>
      <c r="G97" s="80"/>
      <c r="H97" s="80"/>
      <c r="I97" s="80"/>
      <c r="J97" s="80"/>
      <c r="K97" s="80"/>
      <c r="L97" s="80"/>
      <c r="M97" s="80"/>
      <c r="N97" s="80"/>
      <c r="O97" s="80"/>
      <c r="P97" s="43">
        <f t="shared" si="10"/>
        <v>0</v>
      </c>
    </row>
    <row r="98" spans="2:17" s="12" customFormat="1" x14ac:dyDescent="0.2">
      <c r="C98" s="80"/>
      <c r="D98" s="80"/>
      <c r="E98" s="80"/>
      <c r="F98" s="80"/>
      <c r="G98" s="80"/>
      <c r="H98" s="80"/>
      <c r="I98" s="80"/>
      <c r="J98" s="80"/>
      <c r="K98" s="80"/>
      <c r="L98" s="80"/>
      <c r="M98" s="80"/>
      <c r="N98" s="80"/>
      <c r="O98" s="80"/>
      <c r="P98" s="43">
        <f t="shared" si="10"/>
        <v>0</v>
      </c>
    </row>
    <row r="99" spans="2:17" s="12" customFormat="1" x14ac:dyDescent="0.2">
      <c r="C99" s="80"/>
      <c r="D99" s="80"/>
      <c r="E99" s="80"/>
      <c r="F99" s="80"/>
      <c r="G99" s="80"/>
      <c r="H99" s="80"/>
      <c r="I99" s="80"/>
      <c r="J99" s="80"/>
      <c r="K99" s="80"/>
      <c r="L99" s="80"/>
      <c r="M99" s="80"/>
      <c r="N99" s="80"/>
      <c r="O99" s="80"/>
      <c r="P99" s="43">
        <f t="shared" si="10"/>
        <v>0</v>
      </c>
    </row>
    <row r="100" spans="2:17" s="12" customFormat="1" x14ac:dyDescent="0.2">
      <c r="C100" s="80"/>
      <c r="D100" s="80"/>
      <c r="E100" s="80"/>
      <c r="F100" s="80"/>
      <c r="G100" s="80"/>
      <c r="H100" s="80"/>
      <c r="I100" s="80"/>
      <c r="J100" s="80"/>
      <c r="K100" s="80"/>
      <c r="L100" s="80"/>
      <c r="M100" s="80"/>
      <c r="N100" s="80"/>
      <c r="O100" s="80"/>
      <c r="P100" s="43">
        <f t="shared" si="10"/>
        <v>0</v>
      </c>
    </row>
    <row r="101" spans="2:17" s="12" customFormat="1" x14ac:dyDescent="0.2">
      <c r="C101" s="80"/>
      <c r="D101" s="80"/>
      <c r="E101" s="80"/>
      <c r="F101" s="80"/>
      <c r="G101" s="80"/>
      <c r="H101" s="80"/>
      <c r="I101" s="80"/>
      <c r="J101" s="80"/>
      <c r="K101" s="80"/>
      <c r="L101" s="80"/>
      <c r="M101" s="80"/>
      <c r="N101" s="80"/>
      <c r="O101" s="80"/>
      <c r="P101" s="43">
        <f t="shared" si="10"/>
        <v>0</v>
      </c>
    </row>
    <row r="102" spans="2:17" s="12" customFormat="1" x14ac:dyDescent="0.2">
      <c r="C102" s="80"/>
      <c r="D102" s="80"/>
      <c r="E102" s="80"/>
      <c r="F102" s="80"/>
      <c r="G102" s="80"/>
      <c r="H102" s="80"/>
      <c r="I102" s="80"/>
      <c r="J102" s="80"/>
      <c r="K102" s="80"/>
      <c r="L102" s="80"/>
      <c r="M102" s="80"/>
      <c r="N102" s="80"/>
      <c r="O102" s="80"/>
      <c r="P102" s="43">
        <f t="shared" si="10"/>
        <v>0</v>
      </c>
    </row>
    <row r="103" spans="2:17" s="12" customFormat="1" x14ac:dyDescent="0.2">
      <c r="C103" s="80"/>
      <c r="D103" s="80"/>
      <c r="E103" s="80"/>
      <c r="F103" s="80"/>
      <c r="G103" s="80"/>
      <c r="H103" s="80"/>
      <c r="I103" s="80"/>
      <c r="J103" s="80"/>
      <c r="K103" s="80"/>
      <c r="L103" s="80"/>
      <c r="M103" s="80"/>
      <c r="N103" s="80"/>
      <c r="O103" s="80"/>
      <c r="P103" s="43">
        <f t="shared" si="10"/>
        <v>0</v>
      </c>
    </row>
    <row r="104" spans="2:17" s="12" customFormat="1" x14ac:dyDescent="0.2">
      <c r="C104" s="80"/>
      <c r="D104" s="80"/>
      <c r="E104" s="80"/>
      <c r="F104" s="80"/>
      <c r="G104" s="80"/>
      <c r="H104" s="80"/>
      <c r="I104" s="80"/>
      <c r="J104" s="80"/>
      <c r="K104" s="80"/>
      <c r="L104" s="80"/>
      <c r="M104" s="80"/>
      <c r="N104" s="80"/>
      <c r="O104" s="80"/>
      <c r="P104" s="43">
        <f t="shared" si="10"/>
        <v>0</v>
      </c>
    </row>
    <row r="105" spans="2:17" s="12" customFormat="1" x14ac:dyDescent="0.2">
      <c r="C105" s="80"/>
      <c r="D105" s="80"/>
      <c r="E105" s="80"/>
      <c r="F105" s="80"/>
      <c r="G105" s="80"/>
      <c r="H105" s="80"/>
      <c r="I105" s="80"/>
      <c r="J105" s="80"/>
      <c r="K105" s="80"/>
      <c r="L105" s="80"/>
      <c r="M105" s="80"/>
      <c r="N105" s="80"/>
      <c r="O105" s="80"/>
      <c r="P105" s="43">
        <f t="shared" si="10"/>
        <v>0</v>
      </c>
    </row>
    <row r="106" spans="2:17" s="12" customFormat="1" x14ac:dyDescent="0.2">
      <c r="C106" s="80"/>
      <c r="D106" s="80"/>
      <c r="E106" s="80"/>
      <c r="F106" s="80"/>
      <c r="G106" s="80"/>
      <c r="H106" s="80"/>
      <c r="I106" s="80"/>
      <c r="J106" s="80"/>
      <c r="K106" s="80"/>
      <c r="L106" s="80"/>
      <c r="M106" s="80"/>
      <c r="N106" s="80"/>
      <c r="O106" s="80"/>
      <c r="P106" s="43">
        <f t="shared" si="10"/>
        <v>0</v>
      </c>
    </row>
    <row r="107" spans="2:17" s="12" customFormat="1" x14ac:dyDescent="0.2">
      <c r="C107" s="80"/>
      <c r="D107" s="80"/>
      <c r="E107" s="80"/>
      <c r="F107" s="80"/>
      <c r="G107" s="80"/>
      <c r="H107" s="80"/>
      <c r="I107" s="80"/>
      <c r="J107" s="80"/>
      <c r="K107" s="80"/>
      <c r="L107" s="80"/>
      <c r="M107" s="80"/>
      <c r="N107" s="80"/>
      <c r="O107" s="80"/>
      <c r="P107" s="43">
        <f t="shared" si="10"/>
        <v>0</v>
      </c>
    </row>
    <row r="108" spans="2:17" s="12" customFormat="1" x14ac:dyDescent="0.2">
      <c r="C108" s="80"/>
      <c r="D108" s="80"/>
      <c r="E108" s="80"/>
      <c r="F108" s="80"/>
      <c r="G108" s="80"/>
      <c r="H108" s="80"/>
      <c r="I108" s="80"/>
      <c r="J108" s="80"/>
      <c r="K108" s="80"/>
      <c r="L108" s="80"/>
      <c r="M108" s="80"/>
      <c r="N108" s="80"/>
      <c r="O108" s="80"/>
      <c r="P108" s="43">
        <f t="shared" si="10"/>
        <v>0</v>
      </c>
    </row>
    <row r="109" spans="2:17" s="12" customFormat="1" x14ac:dyDescent="0.2">
      <c r="C109" s="80"/>
      <c r="D109" s="80"/>
      <c r="E109" s="80"/>
      <c r="F109" s="80"/>
      <c r="G109" s="80"/>
      <c r="H109" s="80"/>
      <c r="I109" s="80"/>
      <c r="J109" s="80"/>
      <c r="K109" s="80"/>
      <c r="L109" s="80"/>
      <c r="M109" s="80"/>
      <c r="N109" s="80"/>
      <c r="O109" s="80"/>
      <c r="P109" s="43">
        <f t="shared" si="10"/>
        <v>0</v>
      </c>
    </row>
    <row r="110" spans="2:17" s="19" customFormat="1" ht="15" x14ac:dyDescent="0.25">
      <c r="B110" s="46"/>
      <c r="C110" s="46" t="s">
        <v>64</v>
      </c>
      <c r="D110" s="46">
        <f>SUM(D86:D109)</f>
        <v>3</v>
      </c>
      <c r="E110" s="46">
        <f t="shared" ref="E110:O110" si="11">SUM(E86:E109)</f>
        <v>5</v>
      </c>
      <c r="F110" s="46">
        <f t="shared" si="11"/>
        <v>6</v>
      </c>
      <c r="G110" s="46">
        <f t="shared" si="11"/>
        <v>18</v>
      </c>
      <c r="H110" s="46">
        <f t="shared" si="11"/>
        <v>5</v>
      </c>
      <c r="I110" s="46">
        <f t="shared" si="11"/>
        <v>6</v>
      </c>
      <c r="J110" s="46">
        <f t="shared" si="11"/>
        <v>3</v>
      </c>
      <c r="K110" s="46">
        <f t="shared" si="11"/>
        <v>5</v>
      </c>
      <c r="L110" s="46">
        <f t="shared" si="11"/>
        <v>6</v>
      </c>
      <c r="M110" s="46">
        <f t="shared" si="11"/>
        <v>18</v>
      </c>
      <c r="N110" s="46">
        <f t="shared" si="11"/>
        <v>6</v>
      </c>
      <c r="O110" s="46">
        <f t="shared" si="11"/>
        <v>8</v>
      </c>
      <c r="P110" s="46">
        <f>SUM(P86:P109)</f>
        <v>89</v>
      </c>
      <c r="Q110" s="46"/>
    </row>
    <row r="111" spans="2:17" s="12" customFormat="1" x14ac:dyDescent="0.2">
      <c r="D111" s="43"/>
      <c r="E111" s="43"/>
      <c r="F111" s="43"/>
      <c r="G111" s="43"/>
      <c r="H111" s="43"/>
      <c r="I111" s="43"/>
      <c r="J111" s="43"/>
      <c r="K111" s="43"/>
      <c r="L111" s="43"/>
      <c r="M111" s="43"/>
      <c r="N111" s="43"/>
      <c r="O111" s="43"/>
      <c r="P111" s="43"/>
    </row>
    <row r="112" spans="2:17" s="12" customFormat="1" ht="18" customHeight="1" x14ac:dyDescent="0.2">
      <c r="C112" s="47" t="s">
        <v>65</v>
      </c>
      <c r="D112" s="43"/>
      <c r="E112" s="43"/>
      <c r="F112" s="43"/>
      <c r="G112" s="43"/>
      <c r="H112" s="43"/>
      <c r="I112" s="43"/>
      <c r="J112" s="43"/>
      <c r="K112" s="43"/>
      <c r="L112" s="43"/>
      <c r="M112" s="43"/>
      <c r="N112" s="43"/>
      <c r="O112" s="43"/>
      <c r="P112" s="43"/>
    </row>
    <row r="113" spans="2:18" s="12" customFormat="1" x14ac:dyDescent="0.2">
      <c r="C113" s="12" t="s">
        <v>66</v>
      </c>
      <c r="D113" s="80"/>
      <c r="E113" s="80"/>
      <c r="F113" s="80">
        <v>5</v>
      </c>
      <c r="G113" s="80"/>
      <c r="H113" s="80"/>
      <c r="I113" s="80">
        <v>5</v>
      </c>
      <c r="J113" s="80"/>
      <c r="K113" s="80"/>
      <c r="L113" s="80">
        <v>5</v>
      </c>
      <c r="M113" s="80"/>
      <c r="N113" s="80">
        <v>2</v>
      </c>
      <c r="O113" s="80"/>
      <c r="P113" s="43">
        <f>SUM(D113:O113)</f>
        <v>17</v>
      </c>
    </row>
    <row r="114" spans="2:18" s="12" customFormat="1" x14ac:dyDescent="0.2">
      <c r="C114" s="12" t="s">
        <v>67</v>
      </c>
      <c r="D114" s="80"/>
      <c r="E114" s="80"/>
      <c r="F114" s="80"/>
      <c r="G114" s="80"/>
      <c r="H114" s="80"/>
      <c r="I114" s="80"/>
      <c r="J114" s="80"/>
      <c r="K114" s="80"/>
      <c r="L114" s="80"/>
      <c r="M114" s="80"/>
      <c r="N114" s="80"/>
      <c r="O114" s="80"/>
      <c r="P114" s="43">
        <f t="shared" ref="P114:P116" si="12">SUM(D114:O114)</f>
        <v>0</v>
      </c>
    </row>
    <row r="115" spans="2:18" s="12" customFormat="1" x14ac:dyDescent="0.2">
      <c r="C115" s="12" t="s">
        <v>68</v>
      </c>
      <c r="D115" s="80"/>
      <c r="E115" s="80"/>
      <c r="F115" s="80"/>
      <c r="G115" s="80"/>
      <c r="H115" s="80"/>
      <c r="I115" s="80"/>
      <c r="J115" s="80"/>
      <c r="K115" s="80"/>
      <c r="L115" s="80"/>
      <c r="M115" s="80"/>
      <c r="N115" s="80"/>
      <c r="O115" s="80"/>
      <c r="P115" s="43">
        <f t="shared" si="12"/>
        <v>0</v>
      </c>
    </row>
    <row r="116" spans="2:18" s="12" customFormat="1" x14ac:dyDescent="0.2">
      <c r="C116" s="12" t="s">
        <v>69</v>
      </c>
      <c r="D116" s="80"/>
      <c r="E116" s="80"/>
      <c r="F116" s="80">
        <v>6</v>
      </c>
      <c r="G116" s="80"/>
      <c r="H116" s="80"/>
      <c r="I116" s="80">
        <v>6</v>
      </c>
      <c r="J116" s="80"/>
      <c r="K116" s="80"/>
      <c r="L116" s="80">
        <v>20</v>
      </c>
      <c r="M116" s="80"/>
      <c r="N116" s="80">
        <v>5</v>
      </c>
      <c r="O116" s="80"/>
      <c r="P116" s="43">
        <f t="shared" si="12"/>
        <v>37</v>
      </c>
    </row>
    <row r="117" spans="2:18" s="19" customFormat="1" ht="15" x14ac:dyDescent="0.25">
      <c r="B117" s="46"/>
      <c r="C117" s="46" t="s">
        <v>70</v>
      </c>
      <c r="D117" s="46">
        <f>D113+D114+D115-D116</f>
        <v>0</v>
      </c>
      <c r="E117" s="46">
        <f t="shared" ref="E117:O117" si="13">E113+E114+E115-E116</f>
        <v>0</v>
      </c>
      <c r="F117" s="46">
        <f t="shared" si="13"/>
        <v>-1</v>
      </c>
      <c r="G117" s="46">
        <f t="shared" si="13"/>
        <v>0</v>
      </c>
      <c r="H117" s="46">
        <f t="shared" si="13"/>
        <v>0</v>
      </c>
      <c r="I117" s="46">
        <f t="shared" si="13"/>
        <v>-1</v>
      </c>
      <c r="J117" s="46">
        <f t="shared" si="13"/>
        <v>0</v>
      </c>
      <c r="K117" s="46">
        <f t="shared" si="13"/>
        <v>0</v>
      </c>
      <c r="L117" s="46">
        <f t="shared" si="13"/>
        <v>-15</v>
      </c>
      <c r="M117" s="46">
        <f t="shared" si="13"/>
        <v>0</v>
      </c>
      <c r="N117" s="46">
        <f t="shared" si="13"/>
        <v>-3</v>
      </c>
      <c r="O117" s="46">
        <f t="shared" si="13"/>
        <v>0</v>
      </c>
      <c r="P117" s="46">
        <f>P113+P114+P115-P116</f>
        <v>-20</v>
      </c>
      <c r="Q117" s="46"/>
      <c r="R117" s="94"/>
    </row>
    <row r="118" spans="2:18" s="12" customFormat="1" x14ac:dyDescent="0.2">
      <c r="D118" s="43"/>
      <c r="E118" s="43"/>
      <c r="F118" s="43"/>
      <c r="G118" s="43"/>
      <c r="H118" s="43"/>
      <c r="I118" s="43"/>
      <c r="J118" s="43"/>
      <c r="K118" s="43"/>
      <c r="L118" s="43"/>
      <c r="M118" s="43"/>
      <c r="N118" s="43"/>
      <c r="O118" s="43"/>
      <c r="P118" s="43"/>
    </row>
    <row r="119" spans="2:18" s="19" customFormat="1" ht="15" x14ac:dyDescent="0.25">
      <c r="B119" s="40"/>
      <c r="C119" s="40" t="s">
        <v>71</v>
      </c>
      <c r="D119" s="40">
        <f t="shared" ref="D119:O119" si="14">D13-D28-D49-D83-D110-D117</f>
        <v>96.733000000000004</v>
      </c>
      <c r="E119" s="40">
        <f t="shared" si="14"/>
        <v>94.733000000000004</v>
      </c>
      <c r="F119" s="40">
        <f t="shared" si="14"/>
        <v>82.733000000000004</v>
      </c>
      <c r="G119" s="40">
        <f t="shared" si="14"/>
        <v>81.733000000000004</v>
      </c>
      <c r="H119" s="40">
        <f t="shared" si="14"/>
        <v>94.733000000000004</v>
      </c>
      <c r="I119" s="40">
        <f t="shared" si="14"/>
        <v>92.733000000000004</v>
      </c>
      <c r="J119" s="40">
        <f t="shared" si="14"/>
        <v>88.733000000000004</v>
      </c>
      <c r="K119" s="40">
        <f t="shared" si="14"/>
        <v>94.733000000000004</v>
      </c>
      <c r="L119" s="40">
        <f t="shared" si="14"/>
        <v>108.733</v>
      </c>
      <c r="M119" s="40">
        <f t="shared" si="14"/>
        <v>76.733000000000004</v>
      </c>
      <c r="N119" s="40">
        <f t="shared" si="14"/>
        <v>91.733000000000004</v>
      </c>
      <c r="O119" s="40">
        <f t="shared" si="14"/>
        <v>91.733000000000004</v>
      </c>
      <c r="P119" s="40">
        <f>P13-P28-P49-P83-P110+P117</f>
        <v>1055.796</v>
      </c>
      <c r="Q119" s="40"/>
    </row>
  </sheetData>
  <phoneticPr fontId="21" type="noConversion"/>
  <conditionalFormatting sqref="D35:O36 D39:O40 D43:O45 D47:O48 D113:O116 C16:O27 C7:O12 C52:O82 C86:O109">
    <cfRule type="expression" dxfId="3" priority="3">
      <formula>Utfyllingsmodus=TRUE</formula>
    </cfRule>
  </conditionalFormatting>
  <conditionalFormatting sqref="D7:O12">
    <cfRule type="expression" dxfId="2" priority="2">
      <formula>Utfyllingsmodus=TRUE</formula>
    </cfRule>
  </conditionalFormatting>
  <conditionalFormatting sqref="D16:O27">
    <cfRule type="expression" dxfId="1" priority="1">
      <formula>Utfyllingsmodus=TRUE</formula>
    </cfRule>
  </conditionalFormatting>
  <pageMargins left="0.70866141732283472" right="0.70866141732283472" top="0.74803149606299213" bottom="0.74803149606299213" header="0.31496062992125984" footer="0.31496062992125984"/>
  <pageSetup paperSize="9" scale="59" fitToHeight="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Ark6">
    <pageSetUpPr fitToPage="1"/>
  </sheetPr>
  <dimension ref="B1:S29"/>
  <sheetViews>
    <sheetView showGridLines="0" zoomScaleNormal="100" workbookViewId="0">
      <selection activeCell="F28" sqref="F28"/>
    </sheetView>
  </sheetViews>
  <sheetFormatPr baseColWidth="10" defaultColWidth="11.25" defaultRowHeight="14.25" x14ac:dyDescent="0.2"/>
  <cols>
    <col min="1" max="1" width="2.75" style="12" customWidth="1"/>
    <col min="2" max="2" width="0.875" style="12" customWidth="1"/>
    <col min="3" max="3" width="25.625" style="12" customWidth="1"/>
    <col min="4" max="4" width="13.25" style="12" customWidth="1"/>
    <col min="5" max="5" width="11.25" style="12" customWidth="1"/>
    <col min="6" max="16" width="8.625" style="12" customWidth="1"/>
    <col min="17" max="17" width="11.75" style="12" customWidth="1"/>
    <col min="18" max="18" width="0.875" style="12" customWidth="1"/>
    <col min="19" max="16384" width="11.25" style="12"/>
  </cols>
  <sheetData>
    <row r="1" spans="2:19" s="41" customFormat="1" ht="31.9" customHeight="1" x14ac:dyDescent="0.2">
      <c r="B1" s="41" t="s">
        <v>5</v>
      </c>
    </row>
    <row r="2" spans="2:19" s="42" customFormat="1" ht="18" x14ac:dyDescent="0.25">
      <c r="B2" s="88" t="str">
        <f>Firmanavn</f>
        <v>Eksempelbedriften AS</v>
      </c>
    </row>
    <row r="3" spans="2:19" ht="31.9" customHeight="1" x14ac:dyDescent="0.25">
      <c r="C3" s="19"/>
      <c r="D3" s="19"/>
    </row>
    <row r="4" spans="2:19" ht="15" x14ac:dyDescent="0.25">
      <c r="B4" s="30"/>
      <c r="C4" s="30" t="s">
        <v>91</v>
      </c>
      <c r="D4" s="30" t="s">
        <v>86</v>
      </c>
      <c r="E4" s="34" t="s">
        <v>72</v>
      </c>
      <c r="F4" s="34" t="s">
        <v>73</v>
      </c>
      <c r="G4" s="34" t="s">
        <v>74</v>
      </c>
      <c r="H4" s="34" t="s">
        <v>75</v>
      </c>
      <c r="I4" s="34" t="s">
        <v>23</v>
      </c>
      <c r="J4" s="34" t="s">
        <v>76</v>
      </c>
      <c r="K4" s="34" t="s">
        <v>77</v>
      </c>
      <c r="L4" s="34" t="s">
        <v>78</v>
      </c>
      <c r="M4" s="34" t="s">
        <v>79</v>
      </c>
      <c r="N4" s="34" t="s">
        <v>80</v>
      </c>
      <c r="O4" s="34" t="s">
        <v>81</v>
      </c>
      <c r="P4" s="34" t="s">
        <v>82</v>
      </c>
      <c r="Q4" s="53" t="s">
        <v>46</v>
      </c>
      <c r="R4" s="30"/>
    </row>
    <row r="5" spans="2:19" ht="15" x14ac:dyDescent="0.25">
      <c r="C5" s="90" t="s">
        <v>105</v>
      </c>
      <c r="D5" s="81">
        <v>0.7</v>
      </c>
      <c r="E5" s="80">
        <v>25</v>
      </c>
      <c r="F5" s="91">
        <v>25</v>
      </c>
      <c r="G5" s="91">
        <v>25</v>
      </c>
      <c r="H5" s="91">
        <v>25</v>
      </c>
      <c r="I5" s="91">
        <v>25</v>
      </c>
      <c r="J5" s="91">
        <v>25</v>
      </c>
      <c r="K5" s="91">
        <v>25</v>
      </c>
      <c r="L5" s="91">
        <v>25</v>
      </c>
      <c r="M5" s="91">
        <v>25</v>
      </c>
      <c r="N5" s="91">
        <v>25</v>
      </c>
      <c r="O5" s="91">
        <v>25</v>
      </c>
      <c r="P5" s="91">
        <v>25</v>
      </c>
      <c r="Q5" s="54">
        <f>SUM(E5:P5)</f>
        <v>300</v>
      </c>
    </row>
    <row r="6" spans="2:19" ht="15" x14ac:dyDescent="0.25">
      <c r="C6" s="90" t="s">
        <v>141</v>
      </c>
      <c r="D6" s="81">
        <v>1</v>
      </c>
      <c r="E6" s="80">
        <v>50</v>
      </c>
      <c r="F6" s="91">
        <v>50</v>
      </c>
      <c r="G6" s="91">
        <v>50</v>
      </c>
      <c r="H6" s="91">
        <v>50</v>
      </c>
      <c r="I6" s="91">
        <v>50</v>
      </c>
      <c r="J6" s="91">
        <v>50</v>
      </c>
      <c r="K6" s="91">
        <v>50</v>
      </c>
      <c r="L6" s="91">
        <v>50</v>
      </c>
      <c r="M6" s="91">
        <v>50</v>
      </c>
      <c r="N6" s="91">
        <v>50</v>
      </c>
      <c r="O6" s="91">
        <v>50</v>
      </c>
      <c r="P6" s="91">
        <v>50</v>
      </c>
      <c r="Q6" s="54">
        <f t="shared" ref="Q6:Q11" si="0">SUM(E6:P6)</f>
        <v>600</v>
      </c>
    </row>
    <row r="7" spans="2:19" ht="15" x14ac:dyDescent="0.25">
      <c r="C7" s="90"/>
      <c r="D7" s="81"/>
      <c r="E7" s="80"/>
      <c r="F7" s="91"/>
      <c r="G7" s="91"/>
      <c r="H7" s="91"/>
      <c r="I7" s="91"/>
      <c r="J7" s="91"/>
      <c r="K7" s="91"/>
      <c r="L7" s="91"/>
      <c r="M7" s="91"/>
      <c r="N7" s="91"/>
      <c r="O7" s="91"/>
      <c r="P7" s="91"/>
      <c r="Q7" s="54">
        <f t="shared" si="0"/>
        <v>0</v>
      </c>
      <c r="R7" s="43"/>
    </row>
    <row r="8" spans="2:19" ht="15" x14ac:dyDescent="0.25">
      <c r="C8" s="80"/>
      <c r="D8" s="81"/>
      <c r="E8" s="80"/>
      <c r="F8" s="80"/>
      <c r="G8" s="80"/>
      <c r="H8" s="80"/>
      <c r="I8" s="80"/>
      <c r="J8" s="80"/>
      <c r="K8" s="80"/>
      <c r="L8" s="80"/>
      <c r="M8" s="80"/>
      <c r="N8" s="80"/>
      <c r="O8" s="80"/>
      <c r="P8" s="80"/>
      <c r="Q8" s="54">
        <f t="shared" si="0"/>
        <v>0</v>
      </c>
    </row>
    <row r="9" spans="2:19" ht="15" x14ac:dyDescent="0.25">
      <c r="C9" s="80"/>
      <c r="D9" s="81"/>
      <c r="E9" s="80"/>
      <c r="F9" s="80"/>
      <c r="G9" s="80"/>
      <c r="H9" s="80"/>
      <c r="I9" s="80"/>
      <c r="J9" s="80"/>
      <c r="K9" s="80"/>
      <c r="L9" s="80"/>
      <c r="M9" s="80"/>
      <c r="N9" s="80"/>
      <c r="O9" s="80"/>
      <c r="P9" s="80"/>
      <c r="Q9" s="54">
        <f t="shared" si="0"/>
        <v>0</v>
      </c>
    </row>
    <row r="10" spans="2:19" ht="15" x14ac:dyDescent="0.25">
      <c r="C10" s="80"/>
      <c r="D10" s="81"/>
      <c r="E10" s="80"/>
      <c r="F10" s="80"/>
      <c r="G10" s="80"/>
      <c r="H10" s="80"/>
      <c r="I10" s="80"/>
      <c r="J10" s="80"/>
      <c r="K10" s="80"/>
      <c r="L10" s="80"/>
      <c r="M10" s="80"/>
      <c r="N10" s="80"/>
      <c r="O10" s="80"/>
      <c r="P10" s="80"/>
      <c r="Q10" s="54">
        <f t="shared" si="0"/>
        <v>0</v>
      </c>
    </row>
    <row r="11" spans="2:19" ht="15" x14ac:dyDescent="0.25">
      <c r="C11" s="80"/>
      <c r="D11" s="81"/>
      <c r="E11" s="80"/>
      <c r="F11" s="80"/>
      <c r="G11" s="80"/>
      <c r="H11" s="80"/>
      <c r="I11" s="80"/>
      <c r="J11" s="80"/>
      <c r="K11" s="80"/>
      <c r="L11" s="80"/>
      <c r="M11" s="80"/>
      <c r="N11" s="80"/>
      <c r="O11" s="80"/>
      <c r="P11" s="80"/>
      <c r="Q11" s="54">
        <f t="shared" si="0"/>
        <v>0</v>
      </c>
    </row>
    <row r="12" spans="2:19" ht="15" x14ac:dyDescent="0.25">
      <c r="C12" s="80"/>
      <c r="D12" s="81"/>
      <c r="E12" s="80"/>
      <c r="F12" s="80"/>
      <c r="G12" s="80"/>
      <c r="H12" s="80"/>
      <c r="I12" s="80"/>
      <c r="J12" s="80"/>
      <c r="K12" s="80"/>
      <c r="L12" s="80"/>
      <c r="M12" s="80"/>
      <c r="N12" s="80"/>
      <c r="O12" s="80"/>
      <c r="P12" s="80"/>
      <c r="Q12" s="54">
        <f>SUM(E12:P12)</f>
        <v>0</v>
      </c>
    </row>
    <row r="13" spans="2:19" s="2" customFormat="1" ht="15" x14ac:dyDescent="0.25">
      <c r="B13" s="38"/>
      <c r="C13" s="40" t="s">
        <v>95</v>
      </c>
      <c r="D13" s="38"/>
      <c r="E13" s="40">
        <f>SUM(E5:E11)</f>
        <v>75</v>
      </c>
      <c r="F13" s="40">
        <f t="shared" ref="F13:Q13" si="1">SUM(F5:F11)</f>
        <v>75</v>
      </c>
      <c r="G13" s="40">
        <f t="shared" si="1"/>
        <v>75</v>
      </c>
      <c r="H13" s="40">
        <f t="shared" si="1"/>
        <v>75</v>
      </c>
      <c r="I13" s="40">
        <f t="shared" si="1"/>
        <v>75</v>
      </c>
      <c r="J13" s="40">
        <f t="shared" si="1"/>
        <v>75</v>
      </c>
      <c r="K13" s="40">
        <f t="shared" si="1"/>
        <v>75</v>
      </c>
      <c r="L13" s="40">
        <f t="shared" si="1"/>
        <v>75</v>
      </c>
      <c r="M13" s="40">
        <f t="shared" si="1"/>
        <v>75</v>
      </c>
      <c r="N13" s="40">
        <f t="shared" si="1"/>
        <v>75</v>
      </c>
      <c r="O13" s="40">
        <f t="shared" si="1"/>
        <v>75</v>
      </c>
      <c r="P13" s="40">
        <f t="shared" si="1"/>
        <v>75</v>
      </c>
      <c r="Q13" s="40">
        <f t="shared" si="1"/>
        <v>900</v>
      </c>
      <c r="R13" s="38"/>
    </row>
    <row r="14" spans="2:19" x14ac:dyDescent="0.2">
      <c r="B14" s="83"/>
      <c r="C14" s="83" t="s">
        <v>83</v>
      </c>
      <c r="D14" s="83"/>
      <c r="E14" s="83">
        <f t="shared" ref="E14:Q14" si="2">(E13+E17)*ArbeidsgiverAvgift</f>
        <v>10.786499999999998</v>
      </c>
      <c r="F14" s="83">
        <f t="shared" si="2"/>
        <v>10.786499999999998</v>
      </c>
      <c r="G14" s="83">
        <f t="shared" si="2"/>
        <v>10.786499999999998</v>
      </c>
      <c r="H14" s="83">
        <f t="shared" si="2"/>
        <v>10.786499999999998</v>
      </c>
      <c r="I14" s="83">
        <f t="shared" si="2"/>
        <v>10.786499999999998</v>
      </c>
      <c r="J14" s="83">
        <f t="shared" si="2"/>
        <v>10.786499999999998</v>
      </c>
      <c r="K14" s="83">
        <f t="shared" si="2"/>
        <v>10.786499999999998</v>
      </c>
      <c r="L14" s="83">
        <f t="shared" si="2"/>
        <v>10.786499999999998</v>
      </c>
      <c r="M14" s="83">
        <f t="shared" si="2"/>
        <v>10.786499999999998</v>
      </c>
      <c r="N14" s="83">
        <f t="shared" si="2"/>
        <v>10.786499999999998</v>
      </c>
      <c r="O14" s="83">
        <f t="shared" si="2"/>
        <v>10.786499999999998</v>
      </c>
      <c r="P14" s="83">
        <f t="shared" si="2"/>
        <v>10.786499999999998</v>
      </c>
      <c r="Q14" s="83">
        <f t="shared" si="2"/>
        <v>129.43799999999999</v>
      </c>
      <c r="R14" s="83"/>
      <c r="S14" s="55"/>
    </row>
    <row r="15" spans="2:19" x14ac:dyDescent="0.2">
      <c r="B15" s="83"/>
      <c r="C15" s="83" t="s">
        <v>6</v>
      </c>
      <c r="D15" s="83"/>
      <c r="E15" s="83">
        <f t="shared" ref="E15:Q15" si="3">E13*Feriepenger</f>
        <v>9</v>
      </c>
      <c r="F15" s="83">
        <f t="shared" si="3"/>
        <v>9</v>
      </c>
      <c r="G15" s="83">
        <f t="shared" si="3"/>
        <v>9</v>
      </c>
      <c r="H15" s="83">
        <f t="shared" si="3"/>
        <v>9</v>
      </c>
      <c r="I15" s="83">
        <f t="shared" si="3"/>
        <v>9</v>
      </c>
      <c r="J15" s="83">
        <f t="shared" si="3"/>
        <v>9</v>
      </c>
      <c r="K15" s="83">
        <f t="shared" si="3"/>
        <v>9</v>
      </c>
      <c r="L15" s="83">
        <f t="shared" si="3"/>
        <v>9</v>
      </c>
      <c r="M15" s="83">
        <f t="shared" si="3"/>
        <v>9</v>
      </c>
      <c r="N15" s="83">
        <f t="shared" si="3"/>
        <v>9</v>
      </c>
      <c r="O15" s="83">
        <f t="shared" si="3"/>
        <v>9</v>
      </c>
      <c r="P15" s="83">
        <f t="shared" si="3"/>
        <v>9</v>
      </c>
      <c r="Q15" s="83">
        <f t="shared" si="3"/>
        <v>108</v>
      </c>
      <c r="R15" s="83"/>
      <c r="S15" s="55"/>
    </row>
    <row r="16" spans="2:19" x14ac:dyDescent="0.2">
      <c r="B16" s="83"/>
      <c r="C16" s="83" t="s">
        <v>96</v>
      </c>
      <c r="D16" s="83"/>
      <c r="E16" s="83">
        <f t="shared" ref="E16:Q16" si="4">E15*ArbeidsgiverAvgift</f>
        <v>1.2689999999999999</v>
      </c>
      <c r="F16" s="83">
        <f t="shared" si="4"/>
        <v>1.2689999999999999</v>
      </c>
      <c r="G16" s="83">
        <f t="shared" si="4"/>
        <v>1.2689999999999999</v>
      </c>
      <c r="H16" s="83">
        <f t="shared" si="4"/>
        <v>1.2689999999999999</v>
      </c>
      <c r="I16" s="83">
        <f t="shared" si="4"/>
        <v>1.2689999999999999</v>
      </c>
      <c r="J16" s="83">
        <f t="shared" si="4"/>
        <v>1.2689999999999999</v>
      </c>
      <c r="K16" s="83">
        <f t="shared" si="4"/>
        <v>1.2689999999999999</v>
      </c>
      <c r="L16" s="83">
        <f t="shared" si="4"/>
        <v>1.2689999999999999</v>
      </c>
      <c r="M16" s="83">
        <f t="shared" si="4"/>
        <v>1.2689999999999999</v>
      </c>
      <c r="N16" s="83">
        <f t="shared" si="4"/>
        <v>1.2689999999999999</v>
      </c>
      <c r="O16" s="83">
        <f t="shared" si="4"/>
        <v>1.2689999999999999</v>
      </c>
      <c r="P16" s="83">
        <f t="shared" si="4"/>
        <v>1.2689999999999999</v>
      </c>
      <c r="Q16" s="83">
        <f t="shared" si="4"/>
        <v>15.227999999999998</v>
      </c>
      <c r="R16" s="83"/>
      <c r="S16" s="55"/>
    </row>
    <row r="17" spans="2:19" x14ac:dyDescent="0.2">
      <c r="B17" s="83"/>
      <c r="C17" s="83" t="s">
        <v>7</v>
      </c>
      <c r="D17" s="83"/>
      <c r="E17" s="83">
        <f t="shared" ref="E17:Q17" si="5">E13*Pensjon</f>
        <v>1.5</v>
      </c>
      <c r="F17" s="83">
        <f t="shared" si="5"/>
        <v>1.5</v>
      </c>
      <c r="G17" s="83">
        <f t="shared" si="5"/>
        <v>1.5</v>
      </c>
      <c r="H17" s="83">
        <f t="shared" si="5"/>
        <v>1.5</v>
      </c>
      <c r="I17" s="83">
        <f t="shared" si="5"/>
        <v>1.5</v>
      </c>
      <c r="J17" s="83">
        <f t="shared" si="5"/>
        <v>1.5</v>
      </c>
      <c r="K17" s="83">
        <f t="shared" si="5"/>
        <v>1.5</v>
      </c>
      <c r="L17" s="83">
        <f t="shared" si="5"/>
        <v>1.5</v>
      </c>
      <c r="M17" s="83">
        <f t="shared" si="5"/>
        <v>1.5</v>
      </c>
      <c r="N17" s="83">
        <f t="shared" si="5"/>
        <v>1.5</v>
      </c>
      <c r="O17" s="83">
        <f t="shared" si="5"/>
        <v>1.5</v>
      </c>
      <c r="P17" s="83">
        <f t="shared" si="5"/>
        <v>1.5</v>
      </c>
      <c r="Q17" s="83">
        <f t="shared" si="5"/>
        <v>18</v>
      </c>
      <c r="R17" s="83"/>
      <c r="S17" s="55"/>
    </row>
    <row r="18" spans="2:19" x14ac:dyDescent="0.2">
      <c r="B18" s="83"/>
      <c r="C18" s="83" t="s">
        <v>98</v>
      </c>
      <c r="D18" s="83"/>
      <c r="E18" s="83">
        <f t="shared" ref="E18:P18" si="6">ArbeidsgiverAvgift*E17</f>
        <v>0.21149999999999997</v>
      </c>
      <c r="F18" s="83">
        <f t="shared" si="6"/>
        <v>0.21149999999999997</v>
      </c>
      <c r="G18" s="83">
        <f t="shared" si="6"/>
        <v>0.21149999999999997</v>
      </c>
      <c r="H18" s="83">
        <f t="shared" si="6"/>
        <v>0.21149999999999997</v>
      </c>
      <c r="I18" s="83">
        <f t="shared" si="6"/>
        <v>0.21149999999999997</v>
      </c>
      <c r="J18" s="83">
        <f t="shared" si="6"/>
        <v>0.21149999999999997</v>
      </c>
      <c r="K18" s="83">
        <f t="shared" si="6"/>
        <v>0.21149999999999997</v>
      </c>
      <c r="L18" s="83">
        <f t="shared" si="6"/>
        <v>0.21149999999999997</v>
      </c>
      <c r="M18" s="83">
        <f t="shared" si="6"/>
        <v>0.21149999999999997</v>
      </c>
      <c r="N18" s="83">
        <f t="shared" si="6"/>
        <v>0.21149999999999997</v>
      </c>
      <c r="O18" s="83">
        <f t="shared" si="6"/>
        <v>0.21149999999999997</v>
      </c>
      <c r="P18" s="83">
        <f t="shared" si="6"/>
        <v>0.21149999999999997</v>
      </c>
      <c r="Q18" s="83">
        <f>Q14*Pensjon</f>
        <v>2.5887599999999997</v>
      </c>
      <c r="R18" s="83"/>
      <c r="S18" s="55"/>
    </row>
    <row r="19" spans="2:19" x14ac:dyDescent="0.2">
      <c r="B19" s="33"/>
      <c r="C19" s="38" t="s">
        <v>8</v>
      </c>
      <c r="D19" s="33"/>
      <c r="E19" s="33">
        <f t="shared" ref="E19:P19" si="7">SUM(E13:E18)</f>
        <v>97.76700000000001</v>
      </c>
      <c r="F19" s="33">
        <f t="shared" si="7"/>
        <v>97.76700000000001</v>
      </c>
      <c r="G19" s="33">
        <f t="shared" si="7"/>
        <v>97.76700000000001</v>
      </c>
      <c r="H19" s="33">
        <f t="shared" si="7"/>
        <v>97.76700000000001</v>
      </c>
      <c r="I19" s="33">
        <f t="shared" si="7"/>
        <v>97.76700000000001</v>
      </c>
      <c r="J19" s="33">
        <f t="shared" si="7"/>
        <v>97.76700000000001</v>
      </c>
      <c r="K19" s="33">
        <f t="shared" si="7"/>
        <v>97.76700000000001</v>
      </c>
      <c r="L19" s="33">
        <f t="shared" si="7"/>
        <v>97.76700000000001</v>
      </c>
      <c r="M19" s="33">
        <f t="shared" si="7"/>
        <v>97.76700000000001</v>
      </c>
      <c r="N19" s="33">
        <f t="shared" si="7"/>
        <v>97.76700000000001</v>
      </c>
      <c r="O19" s="33">
        <f t="shared" si="7"/>
        <v>97.76700000000001</v>
      </c>
      <c r="P19" s="33">
        <f t="shared" si="7"/>
        <v>97.76700000000001</v>
      </c>
      <c r="Q19" s="33">
        <f>SUM(Q13:Q18)</f>
        <v>1173.2547600000003</v>
      </c>
      <c r="R19" s="33"/>
      <c r="S19" s="55"/>
    </row>
    <row r="20" spans="2:19" x14ac:dyDescent="0.2">
      <c r="B20"/>
      <c r="C20"/>
      <c r="D20"/>
      <c r="E20"/>
      <c r="F20"/>
    </row>
    <row r="21" spans="2:19" x14ac:dyDescent="0.2">
      <c r="B21"/>
      <c r="C21"/>
      <c r="D21"/>
      <c r="E21"/>
      <c r="F21"/>
    </row>
    <row r="22" spans="2:19" x14ac:dyDescent="0.2">
      <c r="B22"/>
      <c r="C22"/>
      <c r="D22"/>
      <c r="E22"/>
      <c r="F22"/>
    </row>
    <row r="23" spans="2:19" x14ac:dyDescent="0.2">
      <c r="B23"/>
      <c r="C23"/>
      <c r="D23"/>
      <c r="E23"/>
      <c r="F23"/>
    </row>
    <row r="24" spans="2:19" x14ac:dyDescent="0.2">
      <c r="B24"/>
      <c r="C24"/>
      <c r="D24"/>
      <c r="E24"/>
      <c r="F24"/>
    </row>
    <row r="25" spans="2:19" x14ac:dyDescent="0.2">
      <c r="B25"/>
      <c r="C25"/>
      <c r="D25"/>
      <c r="E25"/>
      <c r="F25"/>
      <c r="L25" s="43"/>
    </row>
    <row r="26" spans="2:19" x14ac:dyDescent="0.2">
      <c r="B26"/>
      <c r="C26"/>
      <c r="D26"/>
      <c r="E26"/>
      <c r="F26"/>
    </row>
    <row r="27" spans="2:19" x14ac:dyDescent="0.2">
      <c r="B27"/>
      <c r="C27"/>
      <c r="D27"/>
      <c r="E27"/>
      <c r="F27"/>
    </row>
    <row r="28" spans="2:19" x14ac:dyDescent="0.2">
      <c r="B28"/>
      <c r="C28"/>
      <c r="D28"/>
      <c r="E28"/>
      <c r="F28"/>
    </row>
    <row r="29" spans="2:19" s="2" customFormat="1" x14ac:dyDescent="0.2">
      <c r="B29"/>
      <c r="C29"/>
      <c r="D29"/>
      <c r="E29"/>
      <c r="F29"/>
    </row>
  </sheetData>
  <conditionalFormatting sqref="C5:P12">
    <cfRule type="expression" dxfId="0" priority="1">
      <formula>Utfyllingsmodus=TRUE</formula>
    </cfRule>
  </conditionalFormatting>
  <pageMargins left="0.70866141732283472" right="0.70866141732283472" top="0.74803149606299213" bottom="0.74803149606299213" header="0.31496062992125984" footer="0.31496062992125984"/>
  <pageSetup paperSize="9" scale="82" orientation="landscape" verticalDpi="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6</vt:i4>
      </vt:variant>
      <vt:variant>
        <vt:lpstr>Navngitte områder</vt:lpstr>
      </vt:variant>
      <vt:variant>
        <vt:i4>7</vt:i4>
      </vt:variant>
    </vt:vector>
  </HeadingPairs>
  <TitlesOfParts>
    <vt:vector size="13" baseType="lpstr">
      <vt:lpstr>Info</vt:lpstr>
      <vt:lpstr>Innstillinger</vt:lpstr>
      <vt:lpstr>Sammendrag historisk </vt:lpstr>
      <vt:lpstr>Styrerapport</vt:lpstr>
      <vt:lpstr>Budsjett</vt:lpstr>
      <vt:lpstr>Lønn </vt:lpstr>
      <vt:lpstr>ArbeidsgiverAvgift</vt:lpstr>
      <vt:lpstr>Feriepenger</vt:lpstr>
      <vt:lpstr>Firmanavn</vt:lpstr>
      <vt:lpstr>Pensjon</vt:lpstr>
      <vt:lpstr>StartÅr</vt:lpstr>
      <vt:lpstr>Utfyllingsmodus</vt:lpstr>
      <vt:lpstr>Budsjett!Utskriftsområde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Vidar Andersen</cp:lastModifiedBy>
  <cp:lastPrinted>2019-09-14T15:17:33Z</cp:lastPrinted>
  <dcterms:created xsi:type="dcterms:W3CDTF">2013-12-12T10:08:12Z</dcterms:created>
  <dcterms:modified xsi:type="dcterms:W3CDTF">2020-08-11T07:29:16Z</dcterms:modified>
</cp:coreProperties>
</file>