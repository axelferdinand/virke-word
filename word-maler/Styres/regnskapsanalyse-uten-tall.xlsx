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charts/chart3.xml" ContentType="application/vnd.openxmlformats-officedocument.drawingml.chart+xml"/>
  <Override PartName="/xl/theme/themeOverride3.xml" ContentType="application/vnd.openxmlformats-officedocument.themeOverride+xml"/>
  <Override PartName="/xl/charts/chart4.xml" ContentType="application/vnd.openxmlformats-officedocument.drawingml.chart+xml"/>
  <Override PartName="/xl/theme/themeOverride4.xml" ContentType="application/vnd.openxmlformats-officedocument.themeOverride+xml"/>
  <Override PartName="/xl/charts/chart5.xml" ContentType="application/vnd.openxmlformats-officedocument.drawingml.chart+xml"/>
  <Override PartName="/xl/theme/themeOverride5.xml" ContentType="application/vnd.openxmlformats-officedocument.themeOverride+xml"/>
  <Override PartName="/xl/charts/chart6.xml" ContentType="application/vnd.openxmlformats-officedocument.drawingml.chart+xml"/>
  <Override PartName="/xl/theme/themeOverride6.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827"/>
  <workbookPr codeName="ThisWorkbook"/>
  <mc:AlternateContent xmlns:mc="http://schemas.openxmlformats.org/markup-compatibility/2006">
    <mc:Choice Requires="x15">
      <x15ac:absPath xmlns:x15ac="http://schemas.microsoft.com/office/spreadsheetml/2010/11/ac" url="H:\Klienter\Vidar\SG\Styre Norge 2020 - prosjekt\Skjemabank\"/>
    </mc:Choice>
  </mc:AlternateContent>
  <xr:revisionPtr revIDLastSave="0" documentId="13_ncr:1_{15861004-A751-4F19-BEF1-509305894704}" xr6:coauthVersionLast="45" xr6:coauthVersionMax="45" xr10:uidLastSave="{00000000-0000-0000-0000-000000000000}"/>
  <workbookProtection lockStructure="1"/>
  <bookViews>
    <workbookView xWindow="28680" yWindow="-120" windowWidth="29040" windowHeight="15840" tabRatio="847" xr2:uid="{00000000-000D-0000-FFFF-FFFF00000000}"/>
  </bookViews>
  <sheets>
    <sheet name="Info" sheetId="49" r:id="rId1"/>
    <sheet name="Innstillinger" sheetId="43" r:id="rId2"/>
    <sheet name="Regnskap" sheetId="46" r:id="rId3"/>
    <sheet name="Nøkkeltall" sheetId="47" r:id="rId4"/>
    <sheet name="Grafer" sheetId="48" r:id="rId5"/>
  </sheets>
  <definedNames>
    <definedName name="Firmanavn">Innstillinger!$D$4</definedName>
    <definedName name="Merverdiavgift">Innstillinger!$D$8</definedName>
    <definedName name="StartÅr">Innstillinger!$D$6</definedName>
    <definedName name="Utfyllingsmodus">Innstillinger!$H$13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49" l="1"/>
  <c r="T89" i="48" l="1"/>
  <c r="T88" i="48"/>
  <c r="T87" i="48"/>
  <c r="T86" i="48"/>
  <c r="K88" i="48"/>
  <c r="K87" i="48"/>
  <c r="K86" i="48"/>
  <c r="B90" i="48"/>
  <c r="B89" i="48"/>
  <c r="B88" i="48"/>
  <c r="B87" i="48"/>
  <c r="B86" i="48" s="1"/>
  <c r="B2" i="48" l="1"/>
  <c r="T74" i="48" l="1"/>
  <c r="T73" i="48"/>
  <c r="K80" i="48"/>
  <c r="K79" i="48"/>
  <c r="K78" i="48"/>
  <c r="K77" i="48"/>
  <c r="K76" i="48"/>
  <c r="K75" i="48"/>
  <c r="K74" i="48"/>
  <c r="K73" i="48"/>
  <c r="B78" i="48"/>
  <c r="B77" i="48"/>
  <c r="B76" i="48"/>
  <c r="B75" i="48"/>
  <c r="B74" i="48"/>
  <c r="B73" i="48"/>
  <c r="E82" i="46" l="1"/>
  <c r="F82" i="46"/>
  <c r="G82" i="46"/>
  <c r="H82" i="46"/>
  <c r="I82" i="46"/>
  <c r="J82" i="46"/>
  <c r="K82" i="46"/>
  <c r="D82" i="46"/>
  <c r="D75" i="46"/>
  <c r="D8" i="46"/>
  <c r="E10" i="46"/>
  <c r="F10" i="46"/>
  <c r="G10" i="46"/>
  <c r="H10" i="46"/>
  <c r="I10" i="46"/>
  <c r="J10" i="46"/>
  <c r="K10" i="46"/>
  <c r="D10" i="46"/>
  <c r="D16" i="46" s="1"/>
  <c r="D17" i="46" l="1"/>
  <c r="E7" i="47"/>
  <c r="F7" i="47"/>
  <c r="G7" i="47"/>
  <c r="H7" i="47"/>
  <c r="I7" i="47"/>
  <c r="J7" i="47"/>
  <c r="E9" i="47"/>
  <c r="E10" i="47" s="1"/>
  <c r="F9" i="47"/>
  <c r="F10" i="47" s="1"/>
  <c r="G9" i="47"/>
  <c r="G10" i="47" s="1"/>
  <c r="H9" i="47"/>
  <c r="H10" i="47" s="1"/>
  <c r="I9" i="47"/>
  <c r="I10" i="47" s="1"/>
  <c r="J9" i="47"/>
  <c r="J10" i="47" s="1"/>
  <c r="E12" i="47"/>
  <c r="F12" i="47"/>
  <c r="G12" i="47"/>
  <c r="H12" i="47"/>
  <c r="I12" i="47"/>
  <c r="J12" i="47"/>
  <c r="D12" i="47"/>
  <c r="D9" i="47"/>
  <c r="D10" i="47" s="1"/>
  <c r="D7" i="47"/>
  <c r="G13" i="47" l="1"/>
  <c r="O80" i="48" s="1"/>
  <c r="O79" i="48"/>
  <c r="G11" i="47"/>
  <c r="O78" i="48" s="1"/>
  <c r="O77" i="48"/>
  <c r="E11" i="47"/>
  <c r="M78" i="48" s="1"/>
  <c r="M77" i="48"/>
  <c r="D13" i="47"/>
  <c r="L80" i="48" s="1"/>
  <c r="L79" i="48"/>
  <c r="I13" i="47"/>
  <c r="Q80" i="48" s="1"/>
  <c r="Q79" i="48"/>
  <c r="E13" i="47"/>
  <c r="M80" i="48" s="1"/>
  <c r="M79" i="48"/>
  <c r="I11" i="47"/>
  <c r="Q78" i="48" s="1"/>
  <c r="Q77" i="48"/>
  <c r="D11" i="47"/>
  <c r="L78" i="48" s="1"/>
  <c r="L77" i="48"/>
  <c r="J13" i="47"/>
  <c r="R80" i="48" s="1"/>
  <c r="R79" i="48"/>
  <c r="H13" i="47"/>
  <c r="P80" i="48" s="1"/>
  <c r="P79" i="48"/>
  <c r="F13" i="47"/>
  <c r="N80" i="48" s="1"/>
  <c r="N79" i="48"/>
  <c r="J11" i="47"/>
  <c r="R78" i="48" s="1"/>
  <c r="R77" i="48"/>
  <c r="H11" i="47"/>
  <c r="P78" i="48" s="1"/>
  <c r="P77" i="48"/>
  <c r="F11" i="47"/>
  <c r="N78" i="48" s="1"/>
  <c r="N77" i="48"/>
  <c r="H8" i="47"/>
  <c r="P76" i="48" s="1"/>
  <c r="P75" i="48"/>
  <c r="I8" i="47"/>
  <c r="Q76" i="48" s="1"/>
  <c r="Q75" i="48"/>
  <c r="D8" i="47"/>
  <c r="L76" i="48" s="1"/>
  <c r="L75" i="48"/>
  <c r="G8" i="47"/>
  <c r="O76" i="48" s="1"/>
  <c r="O75" i="48"/>
  <c r="F8" i="47"/>
  <c r="N76" i="48" s="1"/>
  <c r="N75" i="48"/>
  <c r="J8" i="47"/>
  <c r="R76" i="48" s="1"/>
  <c r="R75" i="48"/>
  <c r="E8" i="47"/>
  <c r="M76" i="48" s="1"/>
  <c r="M75" i="48"/>
  <c r="J4" i="47"/>
  <c r="I67" i="48" s="1"/>
  <c r="I4" i="47" l="1"/>
  <c r="H67" i="48" s="1"/>
  <c r="J28" i="47"/>
  <c r="J20" i="47"/>
  <c r="H4" i="47" l="1"/>
  <c r="G67" i="48" s="1"/>
  <c r="I20" i="47"/>
  <c r="I28" i="47"/>
  <c r="B2" i="47"/>
  <c r="K4" i="46"/>
  <c r="J4" i="46" s="1"/>
  <c r="I4" i="46" s="1"/>
  <c r="H4" i="46" s="1"/>
  <c r="G4" i="46" s="1"/>
  <c r="F4" i="46" s="1"/>
  <c r="E4" i="46" s="1"/>
  <c r="D4" i="46" s="1"/>
  <c r="E8" i="46"/>
  <c r="F8" i="46"/>
  <c r="G8" i="46"/>
  <c r="H8" i="46"/>
  <c r="I8" i="46"/>
  <c r="J8" i="46"/>
  <c r="K8" i="46"/>
  <c r="E16" i="46"/>
  <c r="F16" i="46"/>
  <c r="G16" i="46"/>
  <c r="H16" i="46"/>
  <c r="I16" i="46"/>
  <c r="J16" i="46"/>
  <c r="K16" i="46"/>
  <c r="E22" i="46"/>
  <c r="F22" i="46"/>
  <c r="G22" i="46"/>
  <c r="H22" i="46"/>
  <c r="I22" i="46"/>
  <c r="J22" i="46"/>
  <c r="K22" i="46"/>
  <c r="E25" i="46"/>
  <c r="F25" i="46"/>
  <c r="G25" i="46"/>
  <c r="H25" i="46"/>
  <c r="I25" i="46"/>
  <c r="J25" i="46"/>
  <c r="K25" i="46"/>
  <c r="E45" i="46"/>
  <c r="F45" i="46"/>
  <c r="G45" i="46"/>
  <c r="H45" i="46"/>
  <c r="I45" i="46"/>
  <c r="J45" i="46"/>
  <c r="K45" i="46"/>
  <c r="E51" i="46"/>
  <c r="F51" i="46"/>
  <c r="G51" i="46"/>
  <c r="H51" i="46"/>
  <c r="I51" i="46"/>
  <c r="J51" i="46"/>
  <c r="K51" i="46"/>
  <c r="E56" i="46"/>
  <c r="E59" i="46" s="1"/>
  <c r="F56" i="46"/>
  <c r="F59" i="46" s="1"/>
  <c r="G56" i="46"/>
  <c r="G59" i="46" s="1"/>
  <c r="H56" i="46"/>
  <c r="H59" i="46" s="1"/>
  <c r="I56" i="46"/>
  <c r="I59" i="46" s="1"/>
  <c r="J56" i="46"/>
  <c r="J59" i="46" s="1"/>
  <c r="K56" i="46"/>
  <c r="K59" i="46" s="1"/>
  <c r="E65" i="46"/>
  <c r="E67" i="46" s="1"/>
  <c r="F65" i="46"/>
  <c r="F67" i="46" s="1"/>
  <c r="G65" i="46"/>
  <c r="G67" i="46" s="1"/>
  <c r="H65" i="46"/>
  <c r="H67" i="46" s="1"/>
  <c r="I65" i="46"/>
  <c r="I67" i="46" s="1"/>
  <c r="J65" i="46"/>
  <c r="J67" i="46" s="1"/>
  <c r="K65" i="46"/>
  <c r="K67" i="46" s="1"/>
  <c r="E75" i="46"/>
  <c r="E83" i="46" s="1"/>
  <c r="E29" i="47" s="1"/>
  <c r="V87" i="48" s="1"/>
  <c r="F75" i="46"/>
  <c r="F83" i="46" s="1"/>
  <c r="G75" i="46"/>
  <c r="G83" i="46" s="1"/>
  <c r="G29" i="47" s="1"/>
  <c r="H75" i="46"/>
  <c r="H83" i="46" s="1"/>
  <c r="I75" i="46"/>
  <c r="I83" i="46" s="1"/>
  <c r="I29" i="47" s="1"/>
  <c r="J75" i="46"/>
  <c r="J83" i="46" s="1"/>
  <c r="K75" i="46"/>
  <c r="K83" i="46" s="1"/>
  <c r="D83" i="46"/>
  <c r="D65" i="46"/>
  <c r="D67" i="46" s="1"/>
  <c r="D56" i="46"/>
  <c r="G22" i="47" l="1"/>
  <c r="F88" i="48" s="1"/>
  <c r="G21" i="47"/>
  <c r="F87" i="48" s="1"/>
  <c r="F86" i="48" s="1"/>
  <c r="F31" i="47"/>
  <c r="W89" i="48" s="1"/>
  <c r="W86" i="48" s="1"/>
  <c r="Z87" i="48"/>
  <c r="X87" i="48"/>
  <c r="I22" i="47"/>
  <c r="H88" i="48" s="1"/>
  <c r="I21" i="47"/>
  <c r="H87" i="48" s="1"/>
  <c r="E22" i="47"/>
  <c r="D88" i="48" s="1"/>
  <c r="E21" i="47"/>
  <c r="D87" i="48" s="1"/>
  <c r="J31" i="47"/>
  <c r="AA89" i="48" s="1"/>
  <c r="AA86" i="48" s="1"/>
  <c r="H31" i="47"/>
  <c r="Y89" i="48" s="1"/>
  <c r="Y86" i="48" s="1"/>
  <c r="D29" i="47"/>
  <c r="J29" i="47"/>
  <c r="H29" i="47"/>
  <c r="Y87" i="48" s="1"/>
  <c r="F29" i="47"/>
  <c r="W87" i="48" s="1"/>
  <c r="J21" i="47"/>
  <c r="I87" i="48" s="1"/>
  <c r="I86" i="48" s="1"/>
  <c r="J22" i="47"/>
  <c r="I88" i="48" s="1"/>
  <c r="H21" i="47"/>
  <c r="G87" i="48" s="1"/>
  <c r="G86" i="48" s="1"/>
  <c r="H22" i="47"/>
  <c r="G88" i="48" s="1"/>
  <c r="F21" i="47"/>
  <c r="E87" i="48" s="1"/>
  <c r="E86" i="48" s="1"/>
  <c r="F22" i="47"/>
  <c r="E88" i="48" s="1"/>
  <c r="I31" i="47"/>
  <c r="Z89" i="48" s="1"/>
  <c r="Z86" i="48" s="1"/>
  <c r="G31" i="47"/>
  <c r="X89" i="48" s="1"/>
  <c r="X86" i="48" s="1"/>
  <c r="E31" i="47"/>
  <c r="V89" i="48" s="1"/>
  <c r="V86" i="48" s="1"/>
  <c r="K85" i="46"/>
  <c r="D59" i="46"/>
  <c r="G85" i="46"/>
  <c r="G30" i="47" s="1"/>
  <c r="X88" i="48" s="1"/>
  <c r="G16" i="47"/>
  <c r="F76" i="48" s="1"/>
  <c r="E85" i="46"/>
  <c r="E30" i="47" s="1"/>
  <c r="V88" i="48" s="1"/>
  <c r="E16" i="47"/>
  <c r="D76" i="48" s="1"/>
  <c r="J85" i="46"/>
  <c r="J30" i="47" s="1"/>
  <c r="AA88" i="48" s="1"/>
  <c r="J16" i="47"/>
  <c r="I76" i="48" s="1"/>
  <c r="F85" i="46"/>
  <c r="F30" i="47" s="1"/>
  <c r="W88" i="48" s="1"/>
  <c r="F16" i="47"/>
  <c r="E76" i="48" s="1"/>
  <c r="I85" i="46"/>
  <c r="I30" i="47" s="1"/>
  <c r="Z88" i="48" s="1"/>
  <c r="I16" i="47"/>
  <c r="H76" i="48" s="1"/>
  <c r="H85" i="46"/>
  <c r="H30" i="47" s="1"/>
  <c r="Y88" i="48" s="1"/>
  <c r="H16" i="47"/>
  <c r="G76" i="48" s="1"/>
  <c r="D85" i="46"/>
  <c r="D30" i="47" s="1"/>
  <c r="U88" i="48" s="1"/>
  <c r="D16" i="47"/>
  <c r="C76" i="48" s="1"/>
  <c r="K21" i="47"/>
  <c r="K23" i="47"/>
  <c r="K22" i="47"/>
  <c r="K24" i="47"/>
  <c r="J23" i="47"/>
  <c r="I23" i="47"/>
  <c r="H23" i="47"/>
  <c r="G23" i="47"/>
  <c r="F23" i="47"/>
  <c r="E23" i="47"/>
  <c r="G4" i="47"/>
  <c r="F67" i="48" s="1"/>
  <c r="H28" i="47"/>
  <c r="H20" i="47"/>
  <c r="E26" i="46"/>
  <c r="I26" i="46"/>
  <c r="G60" i="46"/>
  <c r="I17" i="46"/>
  <c r="E17" i="46"/>
  <c r="F26" i="46"/>
  <c r="H60" i="46"/>
  <c r="J17" i="46"/>
  <c r="J26" i="46"/>
  <c r="H26" i="46"/>
  <c r="F17" i="46"/>
  <c r="G26" i="46"/>
  <c r="F60" i="46"/>
  <c r="E60" i="46"/>
  <c r="K26" i="46"/>
  <c r="K17" i="46"/>
  <c r="K25" i="47" s="1"/>
  <c r="K26" i="47" s="1"/>
  <c r="K60" i="46"/>
  <c r="K88" i="46" s="1"/>
  <c r="J60" i="46"/>
  <c r="H17" i="46"/>
  <c r="I60" i="46"/>
  <c r="G17" i="46"/>
  <c r="D86" i="48" l="1"/>
  <c r="H86" i="48"/>
  <c r="F24" i="47"/>
  <c r="E89" i="48" s="1"/>
  <c r="N87" i="48"/>
  <c r="H24" i="47"/>
  <c r="G89" i="48" s="1"/>
  <c r="P87" i="48"/>
  <c r="J24" i="47"/>
  <c r="I89" i="48" s="1"/>
  <c r="R87" i="48"/>
  <c r="U87" i="48"/>
  <c r="E24" i="47"/>
  <c r="D89" i="48" s="1"/>
  <c r="M87" i="48"/>
  <c r="G24" i="47"/>
  <c r="F89" i="48" s="1"/>
  <c r="O87" i="48"/>
  <c r="I24" i="47"/>
  <c r="H89" i="48" s="1"/>
  <c r="Q87" i="48"/>
  <c r="D23" i="47"/>
  <c r="D21" i="47"/>
  <c r="C87" i="48" s="1"/>
  <c r="D22" i="47"/>
  <c r="C88" i="48" s="1"/>
  <c r="AA87" i="48"/>
  <c r="J88" i="46"/>
  <c r="I88" i="46"/>
  <c r="H88" i="46"/>
  <c r="G88" i="46"/>
  <c r="F88" i="46"/>
  <c r="E88" i="46"/>
  <c r="F6" i="47"/>
  <c r="N74" i="48" s="1"/>
  <c r="N73" i="48" s="1"/>
  <c r="J6" i="47"/>
  <c r="R74" i="48" s="1"/>
  <c r="R73" i="48" s="1"/>
  <c r="I6" i="47"/>
  <c r="Q74" i="48" s="1"/>
  <c r="Q73" i="48" s="1"/>
  <c r="H6" i="47"/>
  <c r="P74" i="48" s="1"/>
  <c r="P73" i="48" s="1"/>
  <c r="G6" i="47"/>
  <c r="O74" i="48" s="1"/>
  <c r="O73" i="48" s="1"/>
  <c r="E6" i="47"/>
  <c r="M74" i="48" s="1"/>
  <c r="M73" i="48" s="1"/>
  <c r="J5" i="47"/>
  <c r="I74" i="48" s="1"/>
  <c r="I73" i="48" s="1"/>
  <c r="J25" i="47"/>
  <c r="I25" i="47"/>
  <c r="I5" i="47"/>
  <c r="H74" i="48" s="1"/>
  <c r="H73" i="48" s="1"/>
  <c r="H25" i="47"/>
  <c r="H5" i="47"/>
  <c r="G74" i="48" s="1"/>
  <c r="G73" i="48" s="1"/>
  <c r="G5" i="47"/>
  <c r="F74" i="48" s="1"/>
  <c r="F73" i="48" s="1"/>
  <c r="G25" i="47"/>
  <c r="F25" i="47"/>
  <c r="F5" i="47"/>
  <c r="E74" i="48" s="1"/>
  <c r="E73" i="48" s="1"/>
  <c r="E25" i="47"/>
  <c r="E5" i="47"/>
  <c r="D74" i="48" s="1"/>
  <c r="D73" i="48" s="1"/>
  <c r="F4" i="47"/>
  <c r="E67" i="48" s="1"/>
  <c r="G20" i="47"/>
  <c r="G28" i="47"/>
  <c r="E27" i="46"/>
  <c r="E30" i="46" s="1"/>
  <c r="I27" i="46"/>
  <c r="I30" i="46" s="1"/>
  <c r="H27" i="46"/>
  <c r="H30" i="46" s="1"/>
  <c r="F27" i="46"/>
  <c r="F30" i="46" s="1"/>
  <c r="K27" i="46"/>
  <c r="J27" i="46"/>
  <c r="J30" i="46" s="1"/>
  <c r="G27" i="46"/>
  <c r="G30" i="46" s="1"/>
  <c r="C86" i="48" l="1"/>
  <c r="E26" i="47"/>
  <c r="D90" i="48" s="1"/>
  <c r="M88" i="48"/>
  <c r="M86" i="48" s="1"/>
  <c r="F26" i="47"/>
  <c r="E90" i="48" s="1"/>
  <c r="N88" i="48"/>
  <c r="N86" i="48" s="1"/>
  <c r="H26" i="47"/>
  <c r="G90" i="48" s="1"/>
  <c r="P88" i="48"/>
  <c r="P86" i="48" s="1"/>
  <c r="I26" i="47"/>
  <c r="H90" i="48" s="1"/>
  <c r="Q88" i="48"/>
  <c r="Q86" i="48" s="1"/>
  <c r="G26" i="47"/>
  <c r="F90" i="48" s="1"/>
  <c r="O88" i="48"/>
  <c r="O86" i="48" s="1"/>
  <c r="J26" i="47"/>
  <c r="I90" i="48" s="1"/>
  <c r="R88" i="48"/>
  <c r="R86" i="48" s="1"/>
  <c r="D24" i="47"/>
  <c r="C89" i="48" s="1"/>
  <c r="L87" i="48"/>
  <c r="K30" i="46"/>
  <c r="K31" i="46" s="1"/>
  <c r="K35" i="46" s="1"/>
  <c r="J31" i="46"/>
  <c r="J35" i="46" s="1"/>
  <c r="J14" i="47"/>
  <c r="J17" i="47"/>
  <c r="I77" i="48" s="1"/>
  <c r="I31" i="46"/>
  <c r="I35" i="46" s="1"/>
  <c r="I14" i="47"/>
  <c r="I17" i="47"/>
  <c r="H77" i="48" s="1"/>
  <c r="H31" i="46"/>
  <c r="H35" i="46" s="1"/>
  <c r="H14" i="47"/>
  <c r="H17" i="47"/>
  <c r="G77" i="48" s="1"/>
  <c r="G31" i="46"/>
  <c r="G35" i="46" s="1"/>
  <c r="G14" i="47"/>
  <c r="G17" i="47"/>
  <c r="F77" i="48" s="1"/>
  <c r="F31" i="46"/>
  <c r="F35" i="46" s="1"/>
  <c r="F17" i="47"/>
  <c r="E77" i="48" s="1"/>
  <c r="F14" i="47"/>
  <c r="E31" i="46"/>
  <c r="E35" i="46" s="1"/>
  <c r="E17" i="47"/>
  <c r="D77" i="48" s="1"/>
  <c r="E14" i="47"/>
  <c r="E4" i="47"/>
  <c r="D67" i="48" s="1"/>
  <c r="F20" i="47"/>
  <c r="F28" i="47"/>
  <c r="D45" i="46"/>
  <c r="D51" i="46"/>
  <c r="D31" i="47" s="1"/>
  <c r="U89" i="48" s="1"/>
  <c r="U86" i="48" s="1"/>
  <c r="D25" i="46"/>
  <c r="D22" i="46"/>
  <c r="B2" i="46"/>
  <c r="F15" i="47" l="1"/>
  <c r="W74" i="48"/>
  <c r="W73" i="48" s="1"/>
  <c r="G15" i="47"/>
  <c r="X74" i="48"/>
  <c r="X73" i="48" s="1"/>
  <c r="I15" i="47"/>
  <c r="Z74" i="48"/>
  <c r="Z73" i="48" s="1"/>
  <c r="E15" i="47"/>
  <c r="V74" i="48"/>
  <c r="V73" i="48" s="1"/>
  <c r="H15" i="47"/>
  <c r="Y74" i="48"/>
  <c r="Y73" i="48" s="1"/>
  <c r="J15" i="47"/>
  <c r="AA74" i="48"/>
  <c r="AA73" i="48" s="1"/>
  <c r="D60" i="46"/>
  <c r="D88" i="46" s="1"/>
  <c r="D4" i="47"/>
  <c r="C67" i="48" s="1"/>
  <c r="E20" i="47"/>
  <c r="E28" i="47"/>
  <c r="D26" i="46"/>
  <c r="B2" i="43"/>
  <c r="I75" i="48" l="1"/>
  <c r="J18" i="47"/>
  <c r="I78" i="48" s="1"/>
  <c r="H18" i="47"/>
  <c r="G78" i="48" s="1"/>
  <c r="G75" i="48"/>
  <c r="E18" i="47"/>
  <c r="D78" i="48" s="1"/>
  <c r="D75" i="48"/>
  <c r="H75" i="48"/>
  <c r="I18" i="47"/>
  <c r="H78" i="48" s="1"/>
  <c r="F75" i="48"/>
  <c r="G18" i="47"/>
  <c r="F78" i="48" s="1"/>
  <c r="F18" i="47"/>
  <c r="E78" i="48" s="1"/>
  <c r="E75" i="48"/>
  <c r="D6" i="47"/>
  <c r="L74" i="48" s="1"/>
  <c r="L73" i="48" s="1"/>
  <c r="D5" i="47"/>
  <c r="C74" i="48" s="1"/>
  <c r="C73" i="48" s="1"/>
  <c r="D25" i="47"/>
  <c r="D20" i="47"/>
  <c r="D28" i="47"/>
  <c r="D27" i="46"/>
  <c r="D26" i="47" l="1"/>
  <c r="C90" i="48" s="1"/>
  <c r="L88" i="48"/>
  <c r="L86" i="48" s="1"/>
  <c r="D30" i="46"/>
  <c r="D31" i="46"/>
  <c r="D35" i="46" s="1"/>
  <c r="D17" i="47"/>
  <c r="C77" i="48" s="1"/>
  <c r="D14" i="47"/>
  <c r="D15" i="47" l="1"/>
  <c r="U74" i="48"/>
  <c r="U73" i="48" s="1"/>
  <c r="C75" i="48" l="1"/>
  <c r="D18" i="47"/>
  <c r="C78" i="48" s="1"/>
</calcChain>
</file>

<file path=xl/sharedStrings.xml><?xml version="1.0" encoding="utf-8"?>
<sst xmlns="http://schemas.openxmlformats.org/spreadsheetml/2006/main" count="138" uniqueCount="127">
  <si>
    <t>EBITDA</t>
  </si>
  <si>
    <t>Lønnskostnader</t>
  </si>
  <si>
    <t>Årsresultat</t>
  </si>
  <si>
    <t>Resultat før skatt</t>
  </si>
  <si>
    <t>Sum finanskostnader</t>
  </si>
  <si>
    <t>Innstillinger</t>
  </si>
  <si>
    <t>Firmanavn</t>
  </si>
  <si>
    <t>Start år</t>
  </si>
  <si>
    <t>Utfyllingsmodus</t>
  </si>
  <si>
    <t>Årsregnskap</t>
  </si>
  <si>
    <t>Sum salgsinntekter</t>
  </si>
  <si>
    <t>Annen driftsinntekt</t>
  </si>
  <si>
    <t>Sum driftsinntekter</t>
  </si>
  <si>
    <t>Varekostnad</t>
  </si>
  <si>
    <t>Beholdningsendringer</t>
  </si>
  <si>
    <t>Ordinære avskrivninger</t>
  </si>
  <si>
    <t>Nedskrivning</t>
  </si>
  <si>
    <t>Andre driftskostnader</t>
  </si>
  <si>
    <t>Driftsresultat</t>
  </si>
  <si>
    <t>Sum finansinntekter</t>
  </si>
  <si>
    <t>Andre finanskostnader</t>
  </si>
  <si>
    <t>Ordinært resultat</t>
  </si>
  <si>
    <t>Ekstraordinære inntekter</t>
  </si>
  <si>
    <t>Ekstraordinære kostnader</t>
  </si>
  <si>
    <t>Skatt ekstraordinært</t>
  </si>
  <si>
    <t>Utbytte</t>
  </si>
  <si>
    <t>Goodwill</t>
  </si>
  <si>
    <t>Tomter, bygninger og annen fast eiendom</t>
  </si>
  <si>
    <t>Sum varige driftsmidler</t>
  </si>
  <si>
    <t>Investeringer i aksjer og andeler</t>
  </si>
  <si>
    <t>Andre fordringer</t>
  </si>
  <si>
    <t>Sum finansielle anleggsmidler</t>
  </si>
  <si>
    <t>Kundefordringer</t>
  </si>
  <si>
    <t>Konsernfordringer</t>
  </si>
  <si>
    <t>Sum fordringer</t>
  </si>
  <si>
    <t>Sum omløpsmidler</t>
  </si>
  <si>
    <t>Sum eiendeler</t>
  </si>
  <si>
    <t>Aksje/Selskapskapital</t>
  </si>
  <si>
    <t>Annen innskutt egenkapital</t>
  </si>
  <si>
    <t>Sum innskutt egenkapital</t>
  </si>
  <si>
    <t>Sum egenkapital</t>
  </si>
  <si>
    <t>Pant/gjeld til kredittinstitusjoner</t>
  </si>
  <si>
    <t>Langsiktig konserngjeld</t>
  </si>
  <si>
    <t>Ansvarlig lånekapital</t>
  </si>
  <si>
    <t>Annen langsiktig gjeld</t>
  </si>
  <si>
    <t>Sum langsiktig gjeld</t>
  </si>
  <si>
    <t>Gjeld til kredittinstitusjoner</t>
  </si>
  <si>
    <t>Leverandørgjeld</t>
  </si>
  <si>
    <t>Skyldig offentlige avgifter</t>
  </si>
  <si>
    <t>Kortsiktig konserngjeld</t>
  </si>
  <si>
    <t>Annen kortsiktig gjeld</t>
  </si>
  <si>
    <t>Sum kortsiktig gjeld</t>
  </si>
  <si>
    <t>Sum gjeld</t>
  </si>
  <si>
    <t>Sum driftskostnader</t>
  </si>
  <si>
    <t>Resultatregnskap i NOK tusen</t>
  </si>
  <si>
    <t>Renteinntekt</t>
  </si>
  <si>
    <t>Annen finansinntekt</t>
  </si>
  <si>
    <t>Rentekostnader</t>
  </si>
  <si>
    <t>Sum finans</t>
  </si>
  <si>
    <t>Maskiner, anlegg og biler</t>
  </si>
  <si>
    <t>Driftsløsøre, inventar og verktøy</t>
  </si>
  <si>
    <t>Aksjer i datterselskap</t>
  </si>
  <si>
    <t>Beholdningsendring varer under tilverkning</t>
  </si>
  <si>
    <t>Bankinnskudd og kontanter</t>
  </si>
  <si>
    <t>Varelager</t>
  </si>
  <si>
    <t>Investeringer</t>
  </si>
  <si>
    <t>Eiendeler</t>
  </si>
  <si>
    <t>Opptjent egenkapital</t>
  </si>
  <si>
    <t>Egenkapital</t>
  </si>
  <si>
    <t>Gjeld</t>
  </si>
  <si>
    <t>Avvsetninger til forpliktelser</t>
  </si>
  <si>
    <t>Balanse i NOK tusen</t>
  </si>
  <si>
    <t>Sum egenkapital og gjeld</t>
  </si>
  <si>
    <t>Skattekostnad</t>
  </si>
  <si>
    <t>Finansielle anleggsmidler</t>
  </si>
  <si>
    <t>Omløpsmidler</t>
  </si>
  <si>
    <t>Immaterielle midler</t>
  </si>
  <si>
    <t>Anleggsmidler</t>
  </si>
  <si>
    <t>Driftskostnader</t>
  </si>
  <si>
    <t>Inntekter</t>
  </si>
  <si>
    <t>Finans</t>
  </si>
  <si>
    <t>Skatt og ekstraordinære poster</t>
  </si>
  <si>
    <t>Driftsmargin</t>
  </si>
  <si>
    <t>Kapitalens omløpshastighet</t>
  </si>
  <si>
    <t>Resultatgrad</t>
  </si>
  <si>
    <t>Totalkapitalrentabilitet</t>
  </si>
  <si>
    <t>Gjennomsnittlig gjeldsrente</t>
  </si>
  <si>
    <t>Egenkapitalrentabiliteten</t>
  </si>
  <si>
    <t>Brekkstangformelen</t>
  </si>
  <si>
    <t>Likviditetsgrad 1</t>
  </si>
  <si>
    <t>Likviditetsgrad 2</t>
  </si>
  <si>
    <t>Arbeidskapitalen/Driftsinntekter</t>
  </si>
  <si>
    <t>EBITDA/Driftsinntekter</t>
  </si>
  <si>
    <t>Gjeldsgrad</t>
  </si>
  <si>
    <t>Egenkapitalandel</t>
  </si>
  <si>
    <t>Langsiktig anleggsfinansiering</t>
  </si>
  <si>
    <t>Arbeidskapital (i tusen NOK)</t>
  </si>
  <si>
    <t>Omløpshastighet kunder</t>
  </si>
  <si>
    <t>Merverdiavgift</t>
  </si>
  <si>
    <t>Kredittiden til kundene</t>
  </si>
  <si>
    <t>Varekjøp</t>
  </si>
  <si>
    <t>Omløpshastighet leverandører</t>
  </si>
  <si>
    <t>Kredittiden til leverandører</t>
  </si>
  <si>
    <t>Omløpshastighet varer</t>
  </si>
  <si>
    <t>Lagringstid varer</t>
  </si>
  <si>
    <t>Likviditet</t>
  </si>
  <si>
    <t>Kontrollsum</t>
  </si>
  <si>
    <t>Lønnsomhet</t>
  </si>
  <si>
    <t>Soliditet</t>
  </si>
  <si>
    <t>Finansielle nøkkeltall</t>
  </si>
  <si>
    <t>År</t>
  </si>
  <si>
    <t>LØNNSOMHET</t>
  </si>
  <si>
    <t>ProsentVerdier</t>
  </si>
  <si>
    <t>Tider</t>
  </si>
  <si>
    <t>Grader</t>
  </si>
  <si>
    <t>Grafer</t>
  </si>
  <si>
    <t>Beløp</t>
  </si>
  <si>
    <t>Info</t>
  </si>
  <si>
    <t>Kom I gang med arket</t>
  </si>
  <si>
    <t>Først bør du registrere firmanavn, åre og flere opplysninger på siden "Innstillinger". Her er det også mulighet til å slå på "Utfyllingsmodusen". Når du krysser av her, vil alle celler som du kan fylle ut tydelig merkes.</t>
  </si>
  <si>
    <t>Regnskap</t>
  </si>
  <si>
    <t>Alt utfylling skjer på arket "regnskap". Her fyller du ut en standard kontoplan. Deretter skjer beregning av nøkkeltallene på arket "Nøkkeltal".</t>
  </si>
  <si>
    <t>Alle nøkkeltal som beregnes i arket "Nøkkeltal" kan fremstilles I grafisk form. Dette skjer på arket "Grafer". Her har du tre grupper med grafer, "lønnsomhet", "likviditet" og "lønnsomhet". For de fleste grafene er det mulig å velge hviken dataserie du ønsker å se på. Her er det bare å klikke på en av opsjonsknappene.</t>
  </si>
  <si>
    <t>Ansvarsfraskrivelse</t>
  </si>
  <si>
    <t>Videreutvikling av verktøyet</t>
  </si>
  <si>
    <t>Dette verktøyet ble satt etter best kunnskap og evne. Dog leveres arket "som den er" og uten garantier. Det kan ikke utelukkes at verktøyet inneholder tekniske, matematiske, logiske eller andre type feil. Du bruker derfor arket på eget ansvar.</t>
  </si>
  <si>
    <t xml:space="preserve">
Arkene er låst, men har ikke passord. Du får dermed bare klikke på "Se gjennom" &gt; "Beskytt" &gt; "Opphev arkbeskyttelse". Det er ikke anbefalt å fjerne beskyttelse så lenge du ikke ønsker å endre arkstrukturen. Du kan legge inn verdier selv om arket er beskyttet. Beskyttelsen hinder at relevante deler av arket blir ødelagt.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</si>
</sst>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_);_(* \(#,##0\);_(* &quot;-&quot;_);@_)"/>
    <numFmt numFmtId="165" formatCode="_ * #,##0_ ;_ * \-#,##0_ ;_ * &quot;-&quot;??_ ;_ @_ "/>
    <numFmt numFmtId="166" formatCode="0%_);\(0%\)"/>
    <numFmt numFmtId="167" formatCode="0.0\ %"/>
    <numFmt numFmtId="168" formatCode="_(* #,##0.00_);_(* \(#,##0.00\);_(* &quot;-&quot;??_);_(@_)"/>
    <numFmt numFmtId="169" formatCode="0.0\ %;0.0\ %;&quot;-&quot;"/>
    <numFmt numFmtId="170" formatCode="0.00;0.00;&quot;-&quot;"/>
    <numFmt numFmtId="171" formatCode="0;0;;@"/>
  </numFmts>
  <fonts count="18" x14ac:knownFonts="1">
    <font>
      <sz val="11"/>
      <color theme="1"/>
      <name val="Calibri"/>
      <family val="2"/>
      <scheme val="minor"/>
    </font>
    <font>
      <b/>
      <sz val="11"/>
      <color theme="3"/>
      <name val="Calibri"/>
      <family val="2"/>
      <scheme val="minor"/>
    </font>
    <font>
      <b/>
      <sz val="9"/>
      <color theme="3"/>
      <name val="Calibri"/>
      <family val="2"/>
      <scheme val="minor"/>
    </font>
    <font>
      <sz val="11"/>
      <color theme="1"/>
      <name val="Calibri"/>
      <family val="2"/>
      <scheme val="minor"/>
    </font>
    <font>
      <sz val="9"/>
      <color theme="1"/>
      <name val="Calibri"/>
      <family val="2"/>
      <scheme val="minor"/>
    </font>
    <font>
      <b/>
      <sz val="9"/>
      <color theme="1"/>
      <name val="Calibri"/>
      <family val="2"/>
      <scheme val="minor"/>
    </font>
    <font>
      <sz val="8"/>
      <color theme="1"/>
      <name val="Calibri"/>
      <family val="2"/>
      <scheme val="minor"/>
    </font>
    <font>
      <sz val="10"/>
      <color theme="1"/>
      <name val="Arial"/>
      <family val="2"/>
    </font>
    <font>
      <sz val="10"/>
      <name val="Arial"/>
      <family val="2"/>
    </font>
    <font>
      <b/>
      <sz val="22"/>
      <color theme="0"/>
      <name val="Arial"/>
      <family val="2"/>
    </font>
    <font>
      <b/>
      <sz val="14"/>
      <color theme="0"/>
      <name val="Arial"/>
      <family val="2"/>
    </font>
    <font>
      <sz val="11"/>
      <color theme="1"/>
      <name val="Arial"/>
      <family val="2"/>
    </font>
    <font>
      <sz val="8"/>
      <color rgb="FF000000"/>
      <name val="Segoe UI"/>
      <family val="2"/>
    </font>
    <font>
      <b/>
      <sz val="11"/>
      <color rgb="FF5A7A98"/>
      <name val="Arial"/>
      <family val="2"/>
    </font>
    <font>
      <sz val="11"/>
      <color theme="0"/>
      <name val="Arial"/>
      <family val="2"/>
    </font>
    <font>
      <b/>
      <sz val="11"/>
      <color theme="1"/>
      <name val="Arial"/>
      <family val="2"/>
    </font>
    <font>
      <sz val="11"/>
      <color rgb="FFFF0000"/>
      <name val="Calibri"/>
      <family val="2"/>
      <scheme val="minor"/>
    </font>
    <font>
      <sz val="11"/>
      <color rgb="FFFF0000"/>
      <name val="Arial"/>
      <family val="2"/>
    </font>
  </fonts>
  <fills count="10">
    <fill>
      <patternFill patternType="none"/>
    </fill>
    <fill>
      <patternFill patternType="gray125"/>
    </fill>
    <fill>
      <patternFill patternType="solid">
        <fgColor rgb="FFFCD4B6"/>
        <bgColor indexed="64"/>
      </patternFill>
    </fill>
    <fill>
      <patternFill patternType="solid">
        <fgColor rgb="FFE8E6DF"/>
        <bgColor indexed="64"/>
      </patternFill>
    </fill>
    <fill>
      <patternFill patternType="solid">
        <fgColor theme="0"/>
        <bgColor indexed="64"/>
      </patternFill>
    </fill>
    <fill>
      <patternFill patternType="solid">
        <fgColor rgb="FF9D2B2E"/>
        <bgColor indexed="64"/>
      </patternFill>
    </fill>
    <fill>
      <patternFill patternType="solid">
        <fgColor rgb="FF5A7A98"/>
        <bgColor indexed="64"/>
      </patternFill>
    </fill>
    <fill>
      <patternFill patternType="solid">
        <fgColor rgb="FFD3F4FF"/>
        <bgColor indexed="64"/>
      </patternFill>
    </fill>
    <fill>
      <patternFill patternType="solid">
        <fgColor rgb="FF00B9FF"/>
        <bgColor indexed="64"/>
      </patternFill>
    </fill>
    <fill>
      <patternFill patternType="solid">
        <fgColor theme="2"/>
        <bgColor indexed="64"/>
      </patternFill>
    </fill>
  </fills>
  <borders count="11">
    <border>
      <left/>
      <right/>
      <top/>
      <bottom/>
      <diagonal/>
    </border>
    <border>
      <left/>
      <right/>
      <top/>
      <bottom style="medium">
        <color theme="4"/>
      </bottom>
      <diagonal/>
    </border>
    <border>
      <left/>
      <right/>
      <top style="thin">
        <color theme="4"/>
      </top>
      <bottom/>
      <diagonal/>
    </border>
    <border>
      <left/>
      <right/>
      <top style="thin">
        <color theme="4"/>
      </top>
      <bottom style="medium">
        <color theme="4"/>
      </bottom>
      <diagonal/>
    </border>
    <border>
      <left style="thin">
        <color indexed="64"/>
      </left>
      <right style="thin">
        <color indexed="64"/>
      </right>
      <top style="thin">
        <color indexed="64"/>
      </top>
      <bottom style="thin">
        <color indexed="64"/>
      </bottom>
      <diagonal/>
    </border>
    <border>
      <left style="thin">
        <color rgb="FF5A7A98"/>
      </left>
      <right style="thin">
        <color rgb="FF5A7A98"/>
      </right>
      <top style="thin">
        <color rgb="FF5A7A98"/>
      </top>
      <bottom style="thin">
        <color rgb="FF5A7A98"/>
      </bottom>
      <diagonal/>
    </border>
    <border>
      <left style="thin">
        <color rgb="FFD3F4FF"/>
      </left>
      <right style="thin">
        <color rgb="FFD3F4FF"/>
      </right>
      <top style="thin">
        <color rgb="FFD3F4FF"/>
      </top>
      <bottom style="thin">
        <color rgb="FFD3F4FF"/>
      </bottom>
      <diagonal/>
    </border>
    <border>
      <left/>
      <right style="thin">
        <color theme="0"/>
      </right>
      <top/>
      <bottom style="thin">
        <color theme="0"/>
      </bottom>
      <diagonal/>
    </border>
    <border>
      <left style="thin">
        <color rgb="FF00B9FF"/>
      </left>
      <right style="thin">
        <color rgb="FF00B9FF"/>
      </right>
      <top style="thin">
        <color rgb="FF00B9FF"/>
      </top>
      <bottom style="thin">
        <color rgb="FF00B9FF"/>
      </bottom>
      <diagonal/>
    </border>
    <border>
      <left style="thin">
        <color rgb="FF00B9FF"/>
      </left>
      <right/>
      <top style="thin">
        <color rgb="FF00B9FF"/>
      </top>
      <bottom style="thin">
        <color rgb="FF00B9FF"/>
      </bottom>
      <diagonal/>
    </border>
    <border>
      <left/>
      <right style="thin">
        <color rgb="FF00B9FF"/>
      </right>
      <top style="thin">
        <color rgb="FF00B9FF"/>
      </top>
      <bottom style="thin">
        <color rgb="FF00B9FF"/>
      </bottom>
      <diagonal/>
    </border>
  </borders>
  <cellStyleXfs count="33">
    <xf numFmtId="0" fontId="0" fillId="9" borderId="0"/>
    <xf numFmtId="0" fontId="1" fillId="0" borderId="0" applyAlignment="0" applyProtection="0"/>
    <xf numFmtId="0" fontId="2" fillId="0" borderId="1" applyFill="0" applyProtection="0">
      <alignment horizontal="right" wrapText="1"/>
    </xf>
    <xf numFmtId="9" fontId="3" fillId="0" borderId="0" applyFont="0" applyFill="0" applyBorder="0" applyAlignment="0" applyProtection="0"/>
    <xf numFmtId="166" fontId="4" fillId="0" borderId="0" applyFill="0" applyBorder="0" applyAlignment="0" applyProtection="0"/>
    <xf numFmtId="164" fontId="5" fillId="0" borderId="2" applyNumberFormat="0" applyFill="0" applyAlignment="0" applyProtection="0"/>
    <xf numFmtId="0" fontId="4" fillId="0" borderId="0"/>
    <xf numFmtId="164" fontId="2" fillId="0" borderId="0" applyNumberFormat="0" applyFill="0" applyBorder="0" applyAlignment="0" applyProtection="0"/>
    <xf numFmtId="164" fontId="4" fillId="2" borderId="0" applyNumberFormat="0" applyFont="0" applyBorder="0" applyAlignment="0" applyProtection="0"/>
    <xf numFmtId="0" fontId="4" fillId="0" borderId="0" applyFill="0" applyBorder="0" applyProtection="0"/>
    <xf numFmtId="164" fontId="4" fillId="3" borderId="0" applyNumberFormat="0" applyFont="0" applyBorder="0" applyAlignment="0" applyProtection="0"/>
    <xf numFmtId="0" fontId="6" fillId="0" borderId="0" applyNumberFormat="0" applyAlignment="0" applyProtection="0"/>
    <xf numFmtId="0" fontId="2" fillId="0" borderId="0" applyFill="0" applyProtection="0">
      <alignment wrapText="1"/>
    </xf>
    <xf numFmtId="0" fontId="5" fillId="0" borderId="3" applyNumberFormat="0" applyFill="0" applyAlignment="0" applyProtection="0"/>
    <xf numFmtId="0" fontId="7" fillId="0" borderId="0"/>
    <xf numFmtId="0" fontId="8" fillId="0" borderId="0"/>
    <xf numFmtId="168" fontId="8" fillId="0" borderId="0" applyFont="0" applyFill="0" applyBorder="0" applyAlignment="0" applyProtection="0"/>
    <xf numFmtId="168" fontId="8" fillId="0" borderId="0" applyFont="0" applyFill="0" applyBorder="0" applyAlignment="0" applyProtection="0"/>
    <xf numFmtId="0" fontId="9" fillId="5" borderId="0">
      <alignment vertical="center"/>
    </xf>
    <xf numFmtId="0" fontId="10" fillId="5" borderId="0"/>
    <xf numFmtId="0" fontId="11" fillId="0" borderId="0"/>
    <xf numFmtId="0" fontId="11" fillId="0" borderId="4">
      <alignment horizontal="right"/>
      <protection locked="0"/>
    </xf>
    <xf numFmtId="0" fontId="13" fillId="9" borderId="0">
      <alignment vertical="top"/>
    </xf>
    <xf numFmtId="0" fontId="14" fillId="6" borderId="5" applyAlignment="0"/>
    <xf numFmtId="165" fontId="11" fillId="7" borderId="6" applyAlignment="0">
      <alignment horizontal="left"/>
    </xf>
    <xf numFmtId="165" fontId="15" fillId="8" borderId="8" applyAlignment="0">
      <alignment horizontal="left"/>
    </xf>
    <xf numFmtId="43" fontId="3" fillId="0" borderId="0" applyFont="0" applyFill="0" applyBorder="0" applyAlignment="0" applyProtection="0"/>
    <xf numFmtId="165" fontId="11" fillId="4" borderId="0"/>
    <xf numFmtId="165" fontId="11" fillId="0" borderId="7">
      <protection locked="0"/>
    </xf>
    <xf numFmtId="9" fontId="11" fillId="9" borderId="0">
      <protection locked="0"/>
    </xf>
    <xf numFmtId="169" fontId="11" fillId="0" borderId="0"/>
    <xf numFmtId="170" fontId="11" fillId="4" borderId="0"/>
    <xf numFmtId="0" fontId="13" fillId="0" borderId="0">
      <alignment vertical="top"/>
    </xf>
  </cellStyleXfs>
  <cellXfs count="35">
    <xf numFmtId="0" fontId="0" fillId="9" borderId="0" xfId="0"/>
    <xf numFmtId="0" fontId="9" fillId="5" borderId="0" xfId="18">
      <alignment vertical="center"/>
    </xf>
    <xf numFmtId="0" fontId="10" fillId="5" borderId="0" xfId="19"/>
    <xf numFmtId="0" fontId="11" fillId="0" borderId="0" xfId="20"/>
    <xf numFmtId="0" fontId="11" fillId="0" borderId="4" xfId="21">
      <alignment horizontal="right"/>
      <protection locked="0"/>
    </xf>
    <xf numFmtId="167" fontId="11" fillId="0" borderId="4" xfId="3" applyNumberFormat="1" applyFont="1" applyBorder="1" applyAlignment="1" applyProtection="1">
      <alignment horizontal="right"/>
      <protection locked="0"/>
    </xf>
    <xf numFmtId="0" fontId="13" fillId="9" borderId="0" xfId="22">
      <alignment vertical="top"/>
    </xf>
    <xf numFmtId="0" fontId="14" fillId="6" borderId="5" xfId="23"/>
    <xf numFmtId="165" fontId="11" fillId="7" borderId="6" xfId="24" applyAlignment="1"/>
    <xf numFmtId="165" fontId="15" fillId="8" borderId="8" xfId="25" applyAlignment="1"/>
    <xf numFmtId="165" fontId="11" fillId="4" borderId="0" xfId="27"/>
    <xf numFmtId="165" fontId="11" fillId="0" borderId="7" xfId="28">
      <protection locked="0"/>
    </xf>
    <xf numFmtId="0" fontId="11" fillId="0" borderId="0" xfId="20" applyProtection="1">
      <protection locked="0"/>
    </xf>
    <xf numFmtId="2" fontId="11" fillId="4" borderId="0" xfId="27" applyNumberFormat="1"/>
    <xf numFmtId="170" fontId="11" fillId="4" borderId="0" xfId="31"/>
    <xf numFmtId="169" fontId="11" fillId="9" borderId="0" xfId="30" applyFill="1"/>
    <xf numFmtId="0" fontId="16" fillId="9" borderId="0" xfId="0" applyFont="1"/>
    <xf numFmtId="0" fontId="17" fillId="0" borderId="0" xfId="20" applyFont="1"/>
    <xf numFmtId="165" fontId="15" fillId="4" borderId="8" xfId="25" applyFill="1" applyAlignment="1"/>
    <xf numFmtId="0" fontId="3" fillId="9" borderId="0" xfId="0" applyFont="1"/>
    <xf numFmtId="165" fontId="11" fillId="4" borderId="0" xfId="27" applyFont="1"/>
    <xf numFmtId="170" fontId="11" fillId="4" borderId="0" xfId="31" applyFont="1"/>
    <xf numFmtId="0" fontId="0" fillId="9" borderId="0" xfId="0" applyFont="1"/>
    <xf numFmtId="0" fontId="0" fillId="9" borderId="9" xfId="0" applyBorder="1"/>
    <xf numFmtId="165" fontId="15" fillId="4" borderId="10" xfId="25" applyFill="1" applyBorder="1" applyAlignment="1"/>
    <xf numFmtId="0" fontId="0" fillId="9" borderId="10" xfId="0" applyBorder="1"/>
    <xf numFmtId="165" fontId="15" fillId="4" borderId="9" xfId="25" applyFill="1" applyBorder="1" applyAlignment="1"/>
    <xf numFmtId="2" fontId="0" fillId="9" borderId="0" xfId="0" applyNumberFormat="1"/>
    <xf numFmtId="0" fontId="0" fillId="9" borderId="0" xfId="0" applyProtection="1">
      <protection locked="0"/>
    </xf>
    <xf numFmtId="0" fontId="9" fillId="5" borderId="0" xfId="18" applyAlignment="1">
      <alignment vertical="top"/>
    </xf>
    <xf numFmtId="0" fontId="10" fillId="5" borderId="0" xfId="19" applyAlignment="1">
      <alignment vertical="top"/>
    </xf>
    <xf numFmtId="0" fontId="11" fillId="0" borderId="0" xfId="20" applyAlignment="1">
      <alignment vertical="top"/>
    </xf>
    <xf numFmtId="0" fontId="13" fillId="0" borderId="0" xfId="32">
      <alignment vertical="top"/>
    </xf>
    <xf numFmtId="0" fontId="11" fillId="0" borderId="0" xfId="20" applyAlignment="1">
      <alignment vertical="top" wrapText="1"/>
    </xf>
    <xf numFmtId="171" fontId="10" fillId="5" borderId="0" xfId="19" applyNumberFormat="1"/>
  </cellXfs>
  <cellStyles count="33">
    <cellStyle name="Comma 2" xfId="26" xr:uid="{00000000-0005-0000-0000-000000000000}"/>
    <cellStyle name="Delsum" xfId="24" xr:uid="{00000000-0005-0000-0000-000001000000}"/>
    <cellStyle name="InputBox" xfId="21" xr:uid="{00000000-0005-0000-0000-000002000000}"/>
    <cellStyle name="KeyFigLocked" xfId="31" xr:uid="{00000000-0005-0000-0000-000003000000}"/>
    <cellStyle name="Normal" xfId="0" builtinId="0" customBuiltin="1"/>
    <cellStyle name="Normal 2" xfId="15" xr:uid="{00000000-0005-0000-0000-000005000000}"/>
    <cellStyle name="Normal 3" xfId="6" xr:uid="{00000000-0005-0000-0000-000006000000}"/>
    <cellStyle name="Normal 4" xfId="14" xr:uid="{00000000-0005-0000-0000-000007000000}"/>
    <cellStyle name="Normal 5" xfId="20" xr:uid="{00000000-0005-0000-0000-000008000000}"/>
    <cellStyle name="NumberLocked" xfId="27" xr:uid="{00000000-0005-0000-0000-000009000000}"/>
    <cellStyle name="NumberOpen" xfId="28" xr:uid="{00000000-0005-0000-0000-00000A000000}"/>
    <cellStyle name="PercentLocked" xfId="30" xr:uid="{00000000-0005-0000-0000-00000B000000}"/>
    <cellStyle name="PercentOpen" xfId="29" xr:uid="{00000000-0005-0000-0000-00000C000000}"/>
    <cellStyle name="Prosent" xfId="3" builtinId="5"/>
    <cellStyle name="SectionName" xfId="22" xr:uid="{00000000-0005-0000-0000-00000E000000}"/>
    <cellStyle name="SectionName 2" xfId="32" xr:uid="{00000000-0005-0000-0000-00000F000000}"/>
    <cellStyle name="Smart Bold" xfId="7" xr:uid="{00000000-0005-0000-0000-000010000000}"/>
    <cellStyle name="Smart Forecast" xfId="8" xr:uid="{00000000-0005-0000-0000-000011000000}"/>
    <cellStyle name="Smart General" xfId="9" xr:uid="{00000000-0005-0000-0000-000012000000}"/>
    <cellStyle name="Smart Highlight" xfId="10" xr:uid="{00000000-0005-0000-0000-000013000000}"/>
    <cellStyle name="Smart Percent" xfId="4" xr:uid="{00000000-0005-0000-0000-000014000000}"/>
    <cellStyle name="Smart Source" xfId="11" xr:uid="{00000000-0005-0000-0000-000015000000}"/>
    <cellStyle name="Smart Subtitle 1" xfId="2" xr:uid="{00000000-0005-0000-0000-000016000000}"/>
    <cellStyle name="Smart Subtitle 2" xfId="12" xr:uid="{00000000-0005-0000-0000-000017000000}"/>
    <cellStyle name="Smart Subtotal" xfId="5" xr:uid="{00000000-0005-0000-0000-000018000000}"/>
    <cellStyle name="Smart Title" xfId="1" xr:uid="{00000000-0005-0000-0000-000019000000}"/>
    <cellStyle name="Smart Total" xfId="13" xr:uid="{00000000-0005-0000-0000-00001A000000}"/>
    <cellStyle name="SumLinje" xfId="25" xr:uid="{00000000-0005-0000-0000-00001B000000}"/>
    <cellStyle name="TableHeader" xfId="23" xr:uid="{00000000-0005-0000-0000-00001C000000}"/>
    <cellStyle name="TitleBar" xfId="18" xr:uid="{00000000-0005-0000-0000-00001D000000}"/>
    <cellStyle name="TitleBar2" xfId="19" xr:uid="{00000000-0005-0000-0000-00001E000000}"/>
    <cellStyle name="Tusenskille 2" xfId="16" xr:uid="{00000000-0005-0000-0000-00001F000000}"/>
    <cellStyle name="Tusenskille 3" xfId="17" xr:uid="{00000000-0005-0000-0000-000020000000}"/>
  </cellStyles>
  <dxfs count="1">
    <dxf>
      <fill>
        <patternFill>
          <bgColor theme="0" tint="-0.14996795556505021"/>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colors>
    <mruColors>
      <color rgb="FF9D2B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Grafer!$B$73</c:f>
          <c:strCache>
            <c:ptCount val="1"/>
            <c:pt idx="0">
              <c:v>Driftsmargin</c:v>
            </c:pt>
          </c:strCache>
        </c:strRef>
      </c:tx>
      <c:overlay val="0"/>
      <c:txPr>
        <a:bodyPr/>
        <a:lstStyle/>
        <a:p>
          <a:pPr>
            <a:defRPr sz="1600"/>
          </a:pPr>
          <a:endParaRPr lang="nb-NO"/>
        </a:p>
      </c:txPr>
    </c:title>
    <c:autoTitleDeleted val="0"/>
    <c:plotArea>
      <c:layout>
        <c:manualLayout>
          <c:layoutTarget val="inner"/>
          <c:xMode val="edge"/>
          <c:yMode val="edge"/>
          <c:x val="6.1241340734047585E-2"/>
          <c:y val="0.16574122119103174"/>
          <c:w val="0.92673680134245517"/>
          <c:h val="0.69566526777232152"/>
        </c:manualLayout>
      </c:layout>
      <c:lineChart>
        <c:grouping val="standard"/>
        <c:varyColors val="0"/>
        <c:ser>
          <c:idx val="1"/>
          <c:order val="0"/>
          <c:tx>
            <c:strRef>
              <c:f>Grafer!$B$73</c:f>
              <c:strCache>
                <c:ptCount val="1"/>
                <c:pt idx="0">
                  <c:v>Driftsmargin</c:v>
                </c:pt>
              </c:strCache>
            </c:strRef>
          </c:tx>
          <c:cat>
            <c:numRef>
              <c:f>Grafer!$C$67:$I$67</c:f>
              <c:numCache>
                <c:formatCode>General</c:formatCode>
                <c:ptCount val="7"/>
                <c:pt idx="0">
                  <c:v>7</c:v>
                </c:pt>
                <c:pt idx="1">
                  <c:v>6</c:v>
                </c:pt>
                <c:pt idx="2">
                  <c:v>5</c:v>
                </c:pt>
                <c:pt idx="3">
                  <c:v>4</c:v>
                </c:pt>
                <c:pt idx="4">
                  <c:v>3</c:v>
                </c:pt>
                <c:pt idx="5">
                  <c:v>2</c:v>
                </c:pt>
                <c:pt idx="6">
                  <c:v>1</c:v>
                </c:pt>
              </c:numCache>
            </c:numRef>
          </c:cat>
          <c:val>
            <c:numRef>
              <c:f>Grafer!$C$73:$I$73</c:f>
              <c:numCache>
                <c:formatCode>General</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3-5510-430D-B9D7-D8FFE22A7B46}"/>
            </c:ext>
          </c:extLst>
        </c:ser>
        <c:dLbls>
          <c:showLegendKey val="0"/>
          <c:showVal val="0"/>
          <c:showCatName val="0"/>
          <c:showSerName val="0"/>
          <c:showPercent val="0"/>
          <c:showBubbleSize val="0"/>
        </c:dLbls>
        <c:marker val="1"/>
        <c:smooth val="0"/>
        <c:axId val="566832352"/>
        <c:axId val="566839016"/>
      </c:lineChart>
      <c:catAx>
        <c:axId val="566832352"/>
        <c:scaling>
          <c:orientation val="minMax"/>
        </c:scaling>
        <c:delete val="0"/>
        <c:axPos val="b"/>
        <c:numFmt formatCode="General" sourceLinked="1"/>
        <c:majorTickMark val="none"/>
        <c:minorTickMark val="none"/>
        <c:tickLblPos val="nextTo"/>
        <c:crossAx val="566839016"/>
        <c:crosses val="autoZero"/>
        <c:auto val="1"/>
        <c:lblAlgn val="ctr"/>
        <c:lblOffset val="100"/>
        <c:noMultiLvlLbl val="0"/>
      </c:catAx>
      <c:valAx>
        <c:axId val="566839016"/>
        <c:scaling>
          <c:orientation val="minMax"/>
        </c:scaling>
        <c:delete val="0"/>
        <c:axPos val="l"/>
        <c:majorGridlines/>
        <c:numFmt formatCode="0%" sourceLinked="0"/>
        <c:majorTickMark val="out"/>
        <c:minorTickMark val="none"/>
        <c:tickLblPos val="nextTo"/>
        <c:spPr>
          <a:ln>
            <a:noFill/>
          </a:ln>
        </c:spPr>
        <c:crossAx val="566832352"/>
        <c:crosses val="autoZero"/>
        <c:crossBetween val="between"/>
      </c:valAx>
    </c:plotArea>
    <c:plotVisOnly val="0"/>
    <c:dispBlanksAs val="gap"/>
    <c:showDLblsOverMax val="0"/>
  </c:chart>
  <c:spPr>
    <a:ln>
      <a:noFill/>
    </a:ln>
  </c:spPr>
  <c:txPr>
    <a:bodyPr/>
    <a:lstStyle/>
    <a:p>
      <a:pPr>
        <a:defRPr b="1">
          <a:latin typeface="Arial" panose="020B0604020202020204" pitchFamily="34" charset="0"/>
          <a:cs typeface="Arial" panose="020B0604020202020204" pitchFamily="34" charset="0"/>
        </a:defRPr>
      </a:pPr>
      <a:endParaRPr lang="nb-N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Grafer!$K$73</c:f>
          <c:strCache>
            <c:ptCount val="1"/>
            <c:pt idx="0">
              <c:v>Kapitalens omløpshastighet</c:v>
            </c:pt>
          </c:strCache>
        </c:strRef>
      </c:tx>
      <c:overlay val="0"/>
      <c:txPr>
        <a:bodyPr/>
        <a:lstStyle/>
        <a:p>
          <a:pPr>
            <a:defRPr sz="1600"/>
          </a:pPr>
          <a:endParaRPr lang="nb-NO"/>
        </a:p>
      </c:txPr>
    </c:title>
    <c:autoTitleDeleted val="0"/>
    <c:plotArea>
      <c:layout>
        <c:manualLayout>
          <c:layoutTarget val="inner"/>
          <c:xMode val="edge"/>
          <c:yMode val="edge"/>
          <c:x val="6.1241340734047585E-2"/>
          <c:y val="0.16574122119103174"/>
          <c:w val="0.92673680134245517"/>
          <c:h val="0.69566526777232152"/>
        </c:manualLayout>
      </c:layout>
      <c:lineChart>
        <c:grouping val="standard"/>
        <c:varyColors val="0"/>
        <c:ser>
          <c:idx val="1"/>
          <c:order val="0"/>
          <c:tx>
            <c:strRef>
              <c:f>Grafer!$K$73</c:f>
              <c:strCache>
                <c:ptCount val="1"/>
                <c:pt idx="0">
                  <c:v>Kapitalens omløpshastighet</c:v>
                </c:pt>
              </c:strCache>
            </c:strRef>
          </c:tx>
          <c:cat>
            <c:numRef>
              <c:f>Grafer!$C$67:$I$67</c:f>
              <c:numCache>
                <c:formatCode>General</c:formatCode>
                <c:ptCount val="7"/>
                <c:pt idx="0">
                  <c:v>7</c:v>
                </c:pt>
                <c:pt idx="1">
                  <c:v>6</c:v>
                </c:pt>
                <c:pt idx="2">
                  <c:v>5</c:v>
                </c:pt>
                <c:pt idx="3">
                  <c:v>4</c:v>
                </c:pt>
                <c:pt idx="4">
                  <c:v>3</c:v>
                </c:pt>
                <c:pt idx="5">
                  <c:v>2</c:v>
                </c:pt>
                <c:pt idx="6">
                  <c:v>1</c:v>
                </c:pt>
              </c:numCache>
            </c:numRef>
          </c:cat>
          <c:val>
            <c:numRef>
              <c:f>Grafer!$L$73:$R$73</c:f>
              <c:numCache>
                <c:formatCode>General</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38FC-4641-9601-0DCD676D641B}"/>
            </c:ext>
          </c:extLst>
        </c:ser>
        <c:dLbls>
          <c:showLegendKey val="0"/>
          <c:showVal val="0"/>
          <c:showCatName val="0"/>
          <c:showSerName val="0"/>
          <c:showPercent val="0"/>
          <c:showBubbleSize val="0"/>
        </c:dLbls>
        <c:marker val="1"/>
        <c:smooth val="0"/>
        <c:axId val="566834312"/>
        <c:axId val="566833528"/>
      </c:lineChart>
      <c:catAx>
        <c:axId val="566834312"/>
        <c:scaling>
          <c:orientation val="minMax"/>
        </c:scaling>
        <c:delete val="0"/>
        <c:axPos val="b"/>
        <c:numFmt formatCode="General" sourceLinked="1"/>
        <c:majorTickMark val="none"/>
        <c:minorTickMark val="none"/>
        <c:tickLblPos val="nextTo"/>
        <c:crossAx val="566833528"/>
        <c:crosses val="autoZero"/>
        <c:auto val="1"/>
        <c:lblAlgn val="ctr"/>
        <c:lblOffset val="100"/>
        <c:noMultiLvlLbl val="0"/>
      </c:catAx>
      <c:valAx>
        <c:axId val="566833528"/>
        <c:scaling>
          <c:orientation val="minMax"/>
        </c:scaling>
        <c:delete val="0"/>
        <c:axPos val="l"/>
        <c:majorGridlines/>
        <c:numFmt formatCode="#,##0.0" sourceLinked="0"/>
        <c:majorTickMark val="out"/>
        <c:minorTickMark val="none"/>
        <c:tickLblPos val="nextTo"/>
        <c:spPr>
          <a:ln>
            <a:noFill/>
          </a:ln>
        </c:spPr>
        <c:crossAx val="566834312"/>
        <c:crosses val="autoZero"/>
        <c:crossBetween val="between"/>
      </c:valAx>
    </c:plotArea>
    <c:plotVisOnly val="0"/>
    <c:dispBlanksAs val="gap"/>
    <c:showDLblsOverMax val="0"/>
  </c:chart>
  <c:spPr>
    <a:ln>
      <a:noFill/>
    </a:ln>
  </c:spPr>
  <c:txPr>
    <a:bodyPr/>
    <a:lstStyle/>
    <a:p>
      <a:pPr>
        <a:defRPr b="1">
          <a:latin typeface="Arial" panose="020B0604020202020204" pitchFamily="34" charset="0"/>
          <a:cs typeface="Arial" panose="020B0604020202020204" pitchFamily="34" charset="0"/>
        </a:defRPr>
      </a:pPr>
      <a:endParaRPr lang="nb-N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600"/>
            </a:pPr>
            <a:r>
              <a:rPr lang="en-US"/>
              <a:t>Resultatgrad</a:t>
            </a:r>
          </a:p>
        </c:rich>
      </c:tx>
      <c:overlay val="0"/>
    </c:title>
    <c:autoTitleDeleted val="0"/>
    <c:plotArea>
      <c:layout>
        <c:manualLayout>
          <c:layoutTarget val="inner"/>
          <c:xMode val="edge"/>
          <c:yMode val="edge"/>
          <c:x val="6.1241340734047585E-2"/>
          <c:y val="0.16574122119103174"/>
          <c:w val="0.92673680134245517"/>
          <c:h val="0.69566526777232152"/>
        </c:manualLayout>
      </c:layout>
      <c:lineChart>
        <c:grouping val="standard"/>
        <c:varyColors val="0"/>
        <c:ser>
          <c:idx val="1"/>
          <c:order val="0"/>
          <c:tx>
            <c:strRef>
              <c:f>Grafer!$T$73</c:f>
              <c:strCache>
                <c:ptCount val="1"/>
                <c:pt idx="0">
                  <c:v>Resultatgrad</c:v>
                </c:pt>
              </c:strCache>
            </c:strRef>
          </c:tx>
          <c:cat>
            <c:numRef>
              <c:f>Grafer!$C$67:$I$67</c:f>
              <c:numCache>
                <c:formatCode>General</c:formatCode>
                <c:ptCount val="7"/>
                <c:pt idx="0">
                  <c:v>7</c:v>
                </c:pt>
                <c:pt idx="1">
                  <c:v>6</c:v>
                </c:pt>
                <c:pt idx="2">
                  <c:v>5</c:v>
                </c:pt>
                <c:pt idx="3">
                  <c:v>4</c:v>
                </c:pt>
                <c:pt idx="4">
                  <c:v>3</c:v>
                </c:pt>
                <c:pt idx="5">
                  <c:v>2</c:v>
                </c:pt>
                <c:pt idx="6">
                  <c:v>1</c:v>
                </c:pt>
              </c:numCache>
            </c:numRef>
          </c:cat>
          <c:val>
            <c:numRef>
              <c:f>Grafer!$U$73:$AA$73</c:f>
              <c:numCache>
                <c:formatCode>General</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3A5A-4863-B3FA-D138F9F7E355}"/>
            </c:ext>
          </c:extLst>
        </c:ser>
        <c:dLbls>
          <c:showLegendKey val="0"/>
          <c:showVal val="0"/>
          <c:showCatName val="0"/>
          <c:showSerName val="0"/>
          <c:showPercent val="0"/>
          <c:showBubbleSize val="0"/>
        </c:dLbls>
        <c:marker val="1"/>
        <c:smooth val="0"/>
        <c:axId val="756720352"/>
        <c:axId val="756716824"/>
      </c:lineChart>
      <c:catAx>
        <c:axId val="756720352"/>
        <c:scaling>
          <c:orientation val="minMax"/>
        </c:scaling>
        <c:delete val="0"/>
        <c:axPos val="b"/>
        <c:numFmt formatCode="General" sourceLinked="1"/>
        <c:majorTickMark val="none"/>
        <c:minorTickMark val="none"/>
        <c:tickLblPos val="nextTo"/>
        <c:crossAx val="756716824"/>
        <c:crosses val="autoZero"/>
        <c:auto val="1"/>
        <c:lblAlgn val="ctr"/>
        <c:lblOffset val="100"/>
        <c:noMultiLvlLbl val="0"/>
      </c:catAx>
      <c:valAx>
        <c:axId val="756716824"/>
        <c:scaling>
          <c:orientation val="minMax"/>
        </c:scaling>
        <c:delete val="0"/>
        <c:axPos val="l"/>
        <c:majorGridlines/>
        <c:numFmt formatCode="#,##0.00" sourceLinked="0"/>
        <c:majorTickMark val="out"/>
        <c:minorTickMark val="none"/>
        <c:tickLblPos val="nextTo"/>
        <c:spPr>
          <a:ln>
            <a:noFill/>
          </a:ln>
        </c:spPr>
        <c:crossAx val="756720352"/>
        <c:crosses val="autoZero"/>
        <c:crossBetween val="between"/>
      </c:valAx>
    </c:plotArea>
    <c:plotVisOnly val="0"/>
    <c:dispBlanksAs val="gap"/>
    <c:showDLblsOverMax val="0"/>
  </c:chart>
  <c:spPr>
    <a:ln>
      <a:noFill/>
    </a:ln>
  </c:spPr>
  <c:txPr>
    <a:bodyPr/>
    <a:lstStyle/>
    <a:p>
      <a:pPr>
        <a:defRPr b="1">
          <a:latin typeface="Arial" panose="020B0604020202020204" pitchFamily="34" charset="0"/>
          <a:cs typeface="Arial" panose="020B0604020202020204" pitchFamily="34" charset="0"/>
        </a:defRPr>
      </a:pPr>
      <a:endParaRPr lang="nb-N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Grafer!$B$86</c:f>
          <c:strCache>
            <c:ptCount val="1"/>
            <c:pt idx="0">
              <c:v>Likviditetsgrad 2</c:v>
            </c:pt>
          </c:strCache>
        </c:strRef>
      </c:tx>
      <c:overlay val="0"/>
      <c:txPr>
        <a:bodyPr/>
        <a:lstStyle/>
        <a:p>
          <a:pPr>
            <a:defRPr sz="1600"/>
          </a:pPr>
          <a:endParaRPr lang="nb-NO"/>
        </a:p>
      </c:txPr>
    </c:title>
    <c:autoTitleDeleted val="0"/>
    <c:plotArea>
      <c:layout>
        <c:manualLayout>
          <c:layoutTarget val="inner"/>
          <c:xMode val="edge"/>
          <c:yMode val="edge"/>
          <c:x val="6.1241340734047585E-2"/>
          <c:y val="0.16574122119103174"/>
          <c:w val="0.92673680134245517"/>
          <c:h val="0.69566526777232152"/>
        </c:manualLayout>
      </c:layout>
      <c:lineChart>
        <c:grouping val="standard"/>
        <c:varyColors val="0"/>
        <c:ser>
          <c:idx val="1"/>
          <c:order val="0"/>
          <c:tx>
            <c:strRef>
              <c:f>Grafer!$B$86</c:f>
              <c:strCache>
                <c:ptCount val="1"/>
                <c:pt idx="0">
                  <c:v>Likviditetsgrad 2</c:v>
                </c:pt>
              </c:strCache>
            </c:strRef>
          </c:tx>
          <c:cat>
            <c:numRef>
              <c:f>Grafer!$C$67:$I$67</c:f>
              <c:numCache>
                <c:formatCode>General</c:formatCode>
                <c:ptCount val="7"/>
                <c:pt idx="0">
                  <c:v>7</c:v>
                </c:pt>
                <c:pt idx="1">
                  <c:v>6</c:v>
                </c:pt>
                <c:pt idx="2">
                  <c:v>5</c:v>
                </c:pt>
                <c:pt idx="3">
                  <c:v>4</c:v>
                </c:pt>
                <c:pt idx="4">
                  <c:v>3</c:v>
                </c:pt>
                <c:pt idx="5">
                  <c:v>2</c:v>
                </c:pt>
                <c:pt idx="6">
                  <c:v>1</c:v>
                </c:pt>
              </c:numCache>
            </c:numRef>
          </c:cat>
          <c:val>
            <c:numRef>
              <c:f>Grafer!$C$86:$I$86</c:f>
              <c:numCache>
                <c:formatCode>General</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1-C904-4CA6-A516-8C1361DB0E5E}"/>
            </c:ext>
          </c:extLst>
        </c:ser>
        <c:dLbls>
          <c:showLegendKey val="0"/>
          <c:showVal val="0"/>
          <c:showCatName val="0"/>
          <c:showSerName val="0"/>
          <c:showPercent val="0"/>
          <c:showBubbleSize val="0"/>
        </c:dLbls>
        <c:marker val="1"/>
        <c:smooth val="0"/>
        <c:axId val="756720744"/>
        <c:axId val="756721528"/>
      </c:lineChart>
      <c:catAx>
        <c:axId val="756720744"/>
        <c:scaling>
          <c:orientation val="minMax"/>
        </c:scaling>
        <c:delete val="0"/>
        <c:axPos val="b"/>
        <c:numFmt formatCode="General" sourceLinked="1"/>
        <c:majorTickMark val="none"/>
        <c:minorTickMark val="none"/>
        <c:tickLblPos val="nextTo"/>
        <c:crossAx val="756721528"/>
        <c:crosses val="autoZero"/>
        <c:auto val="1"/>
        <c:lblAlgn val="ctr"/>
        <c:lblOffset val="100"/>
        <c:noMultiLvlLbl val="0"/>
      </c:catAx>
      <c:valAx>
        <c:axId val="756721528"/>
        <c:scaling>
          <c:orientation val="minMax"/>
        </c:scaling>
        <c:delete val="0"/>
        <c:axPos val="l"/>
        <c:majorGridlines/>
        <c:numFmt formatCode="#,##0.00" sourceLinked="0"/>
        <c:majorTickMark val="out"/>
        <c:minorTickMark val="none"/>
        <c:tickLblPos val="nextTo"/>
        <c:spPr>
          <a:ln>
            <a:noFill/>
          </a:ln>
        </c:spPr>
        <c:crossAx val="756720744"/>
        <c:crosses val="autoZero"/>
        <c:crossBetween val="between"/>
      </c:valAx>
    </c:plotArea>
    <c:plotVisOnly val="0"/>
    <c:dispBlanksAs val="gap"/>
    <c:showDLblsOverMax val="0"/>
  </c:chart>
  <c:spPr>
    <a:ln>
      <a:noFill/>
    </a:ln>
  </c:spPr>
  <c:txPr>
    <a:bodyPr/>
    <a:lstStyle/>
    <a:p>
      <a:pPr>
        <a:defRPr b="1">
          <a:latin typeface="Arial" panose="020B0604020202020204" pitchFamily="34" charset="0"/>
          <a:cs typeface="Arial" panose="020B0604020202020204" pitchFamily="34" charset="0"/>
        </a:defRPr>
      </a:pPr>
      <a:endParaRPr lang="nb-N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Grafer!$K$86</c:f>
          <c:strCache>
            <c:ptCount val="1"/>
            <c:pt idx="0">
              <c:v>EBITDA</c:v>
            </c:pt>
          </c:strCache>
        </c:strRef>
      </c:tx>
      <c:overlay val="0"/>
      <c:txPr>
        <a:bodyPr/>
        <a:lstStyle/>
        <a:p>
          <a:pPr>
            <a:defRPr sz="1600"/>
          </a:pPr>
          <a:endParaRPr lang="nb-NO"/>
        </a:p>
      </c:txPr>
    </c:title>
    <c:autoTitleDeleted val="0"/>
    <c:plotArea>
      <c:layout>
        <c:manualLayout>
          <c:layoutTarget val="inner"/>
          <c:xMode val="edge"/>
          <c:yMode val="edge"/>
          <c:x val="6.1241340734047585E-2"/>
          <c:y val="0.16574122119103174"/>
          <c:w val="0.92673680134245517"/>
          <c:h val="0.69566526777232152"/>
        </c:manualLayout>
      </c:layout>
      <c:barChart>
        <c:barDir val="col"/>
        <c:grouping val="clustered"/>
        <c:varyColors val="0"/>
        <c:ser>
          <c:idx val="1"/>
          <c:order val="0"/>
          <c:tx>
            <c:strRef>
              <c:f>Grafer!$K$86</c:f>
              <c:strCache>
                <c:ptCount val="1"/>
                <c:pt idx="0">
                  <c:v>EBITDA</c:v>
                </c:pt>
              </c:strCache>
            </c:strRef>
          </c:tx>
          <c:invertIfNegative val="0"/>
          <c:cat>
            <c:numRef>
              <c:f>Grafer!$C$67:$I$67</c:f>
              <c:numCache>
                <c:formatCode>General</c:formatCode>
                <c:ptCount val="7"/>
                <c:pt idx="0">
                  <c:v>7</c:v>
                </c:pt>
                <c:pt idx="1">
                  <c:v>6</c:v>
                </c:pt>
                <c:pt idx="2">
                  <c:v>5</c:v>
                </c:pt>
                <c:pt idx="3">
                  <c:v>4</c:v>
                </c:pt>
                <c:pt idx="4">
                  <c:v>3</c:v>
                </c:pt>
                <c:pt idx="5">
                  <c:v>2</c:v>
                </c:pt>
                <c:pt idx="6">
                  <c:v>1</c:v>
                </c:pt>
              </c:numCache>
            </c:numRef>
          </c:cat>
          <c:val>
            <c:numRef>
              <c:f>Grafer!$L$86:$R$86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F396-46F7-80AE-D1DB8CB2171B}"/>
            </c:ext>
          </c:extLst>
        </c:ser>
        <c:dLbls>
          <c:showLegendKey val="0"/>
          <c:showVal val="0"/>
          <c:showCatName val="0"/>
          <c:showSerName val="0"/>
          <c:showPercent val="0"/>
          <c:showBubbleSize val="0"/>
        </c:dLbls>
        <c:gapWidth val="150"/>
        <c:axId val="756721136"/>
        <c:axId val="756717608"/>
      </c:barChart>
      <c:catAx>
        <c:axId val="756721136"/>
        <c:scaling>
          <c:orientation val="minMax"/>
        </c:scaling>
        <c:delete val="0"/>
        <c:axPos val="b"/>
        <c:numFmt formatCode="General" sourceLinked="1"/>
        <c:majorTickMark val="none"/>
        <c:minorTickMark val="none"/>
        <c:tickLblPos val="nextTo"/>
        <c:crossAx val="756717608"/>
        <c:crosses val="autoZero"/>
        <c:auto val="1"/>
        <c:lblAlgn val="ctr"/>
        <c:lblOffset val="100"/>
        <c:noMultiLvlLbl val="0"/>
      </c:catAx>
      <c:valAx>
        <c:axId val="756717608"/>
        <c:scaling>
          <c:orientation val="minMax"/>
        </c:scaling>
        <c:delete val="0"/>
        <c:axPos val="l"/>
        <c:majorGridlines/>
        <c:numFmt formatCode="#,##0" sourceLinked="0"/>
        <c:majorTickMark val="out"/>
        <c:minorTickMark val="none"/>
        <c:tickLblPos val="nextTo"/>
        <c:spPr>
          <a:ln>
            <a:noFill/>
          </a:ln>
        </c:spPr>
        <c:crossAx val="756721136"/>
        <c:crosses val="autoZero"/>
        <c:crossBetween val="between"/>
      </c:valAx>
    </c:plotArea>
    <c:plotVisOnly val="0"/>
    <c:dispBlanksAs val="gap"/>
    <c:showDLblsOverMax val="0"/>
  </c:chart>
  <c:spPr>
    <a:ln>
      <a:noFill/>
    </a:ln>
  </c:spPr>
  <c:txPr>
    <a:bodyPr/>
    <a:lstStyle/>
    <a:p>
      <a:pPr>
        <a:defRPr b="1">
          <a:latin typeface="Arial" panose="020B0604020202020204" pitchFamily="34" charset="0"/>
          <a:cs typeface="Arial" panose="020B0604020202020204" pitchFamily="34" charset="0"/>
        </a:defRPr>
      </a:pPr>
      <a:endParaRPr lang="nb-N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Grafer!$T$86</c:f>
          <c:strCache>
            <c:ptCount val="1"/>
            <c:pt idx="0">
              <c:v>Langsiktig anleggsfinansiering</c:v>
            </c:pt>
          </c:strCache>
        </c:strRef>
      </c:tx>
      <c:overlay val="0"/>
      <c:txPr>
        <a:bodyPr/>
        <a:lstStyle/>
        <a:p>
          <a:pPr>
            <a:defRPr sz="1600"/>
          </a:pPr>
          <a:endParaRPr lang="nb-NO"/>
        </a:p>
      </c:txPr>
    </c:title>
    <c:autoTitleDeleted val="0"/>
    <c:plotArea>
      <c:layout>
        <c:manualLayout>
          <c:layoutTarget val="inner"/>
          <c:xMode val="edge"/>
          <c:yMode val="edge"/>
          <c:x val="6.1241340734047585E-2"/>
          <c:y val="0.16574122119103174"/>
          <c:w val="0.92673680134245517"/>
          <c:h val="0.69566526777232152"/>
        </c:manualLayout>
      </c:layout>
      <c:lineChart>
        <c:grouping val="standard"/>
        <c:varyColors val="0"/>
        <c:ser>
          <c:idx val="1"/>
          <c:order val="0"/>
          <c:tx>
            <c:strRef>
              <c:f>Grafer!$T$86</c:f>
              <c:strCache>
                <c:ptCount val="1"/>
                <c:pt idx="0">
                  <c:v>Langsiktig anleggsfinansiering</c:v>
                </c:pt>
              </c:strCache>
            </c:strRef>
          </c:tx>
          <c:cat>
            <c:numRef>
              <c:f>Grafer!$C$67:$I$67</c:f>
              <c:numCache>
                <c:formatCode>General</c:formatCode>
                <c:ptCount val="7"/>
                <c:pt idx="0">
                  <c:v>7</c:v>
                </c:pt>
                <c:pt idx="1">
                  <c:v>6</c:v>
                </c:pt>
                <c:pt idx="2">
                  <c:v>5</c:v>
                </c:pt>
                <c:pt idx="3">
                  <c:v>4</c:v>
                </c:pt>
                <c:pt idx="4">
                  <c:v>3</c:v>
                </c:pt>
                <c:pt idx="5">
                  <c:v>2</c:v>
                </c:pt>
                <c:pt idx="6">
                  <c:v>1</c:v>
                </c:pt>
              </c:numCache>
            </c:numRef>
          </c:cat>
          <c:val>
            <c:numRef>
              <c:f>Grafer!$U$86:$AA$86</c:f>
              <c:numCache>
                <c:formatCode>General</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CF11-4E25-AED0-87BC738509C7}"/>
            </c:ext>
          </c:extLst>
        </c:ser>
        <c:dLbls>
          <c:showLegendKey val="0"/>
          <c:showVal val="0"/>
          <c:showCatName val="0"/>
          <c:showSerName val="0"/>
          <c:showPercent val="0"/>
          <c:showBubbleSize val="0"/>
        </c:dLbls>
        <c:marker val="1"/>
        <c:smooth val="0"/>
        <c:axId val="756710552"/>
        <c:axId val="756711728"/>
      </c:lineChart>
      <c:catAx>
        <c:axId val="756710552"/>
        <c:scaling>
          <c:orientation val="minMax"/>
        </c:scaling>
        <c:delete val="0"/>
        <c:axPos val="b"/>
        <c:numFmt formatCode="General" sourceLinked="1"/>
        <c:majorTickMark val="none"/>
        <c:minorTickMark val="none"/>
        <c:tickLblPos val="nextTo"/>
        <c:crossAx val="756711728"/>
        <c:crosses val="autoZero"/>
        <c:auto val="1"/>
        <c:lblAlgn val="ctr"/>
        <c:lblOffset val="100"/>
        <c:noMultiLvlLbl val="0"/>
      </c:catAx>
      <c:valAx>
        <c:axId val="756711728"/>
        <c:scaling>
          <c:orientation val="minMax"/>
        </c:scaling>
        <c:delete val="0"/>
        <c:axPos val="l"/>
        <c:majorGridlines/>
        <c:numFmt formatCode="#,##0.00" sourceLinked="0"/>
        <c:majorTickMark val="out"/>
        <c:minorTickMark val="none"/>
        <c:tickLblPos val="nextTo"/>
        <c:spPr>
          <a:ln>
            <a:noFill/>
          </a:ln>
        </c:spPr>
        <c:crossAx val="756710552"/>
        <c:crosses val="autoZero"/>
        <c:crossBetween val="between"/>
      </c:valAx>
    </c:plotArea>
    <c:plotVisOnly val="0"/>
    <c:dispBlanksAs val="gap"/>
    <c:showDLblsOverMax val="0"/>
  </c:chart>
  <c:spPr>
    <a:ln>
      <a:noFill/>
    </a:ln>
  </c:spPr>
  <c:txPr>
    <a:bodyPr/>
    <a:lstStyle/>
    <a:p>
      <a:pPr>
        <a:defRPr b="1">
          <a:latin typeface="Arial" panose="020B0604020202020204" pitchFamily="34" charset="0"/>
          <a:cs typeface="Arial" panose="020B0604020202020204" pitchFamily="34" charset="0"/>
        </a:defRPr>
      </a:pPr>
      <a:endParaRPr lang="nb-NO"/>
    </a:p>
  </c:txPr>
  <c:printSettings>
    <c:headerFooter/>
    <c:pageMargins b="0.75" l="0.7" r="0.7" t="0.75" header="0.3" footer="0.3"/>
    <c:pageSetup/>
  </c:printSettings>
</c:chartSpace>
</file>

<file path=xl/ctrlProps/ctrlProp1.xml><?xml version="1.0" encoding="utf-8"?>
<formControlPr xmlns="http://schemas.microsoft.com/office/spreadsheetml/2009/9/main" objectType="CheckBox" checked="Checked" fmlaLink="H13" lockText="1"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Radio" checked="Checked" firstButton="1" fmlaLink="B71"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GBox" noThreeD="1"/>
</file>

<file path=xl/ctrlProps/ctrlProp9.xml><?xml version="1.0" encoding="utf-8"?>
<formControlPr xmlns="http://schemas.microsoft.com/office/spreadsheetml/2009/9/main" objectType="Radio" checked="Checked" firstButton="1" fmlaLink="K71"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GBox" noThreeD="1"/>
</file>

<file path=xl/ctrlProps/ctrlProp17.xml><?xml version="1.0" encoding="utf-8"?>
<formControlPr xmlns="http://schemas.microsoft.com/office/spreadsheetml/2009/9/main" objectType="Radio" firstButton="1" fmlaLink="B84" lockText="1" noThreeD="1"/>
</file>

<file path=xl/ctrlProps/ctrlProp18.xml><?xml version="1.0" encoding="utf-8"?>
<formControlPr xmlns="http://schemas.microsoft.com/office/spreadsheetml/2009/9/main" objectType="Radio" checked="Checked" lockText="1" noThreeD="1"/>
</file>

<file path=xl/ctrlProps/ctrlProp19.xml><?xml version="1.0" encoding="utf-8"?>
<formControlPr xmlns="http://schemas.microsoft.com/office/spreadsheetml/2009/9/main" objectType="Radio"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GBox" noThreeD="1"/>
</file>

<file path=xl/ctrlProps/ctrlProp22.xml><?xml version="1.0" encoding="utf-8"?>
<formControlPr xmlns="http://schemas.microsoft.com/office/spreadsheetml/2009/9/main" objectType="Radio" firstButton="1" fmlaLink="$K$84" lockText="1" noThreeD="1"/>
</file>

<file path=xl/ctrlProps/ctrlProp23.xml><?xml version="1.0" encoding="utf-8"?>
<formControlPr xmlns="http://schemas.microsoft.com/office/spreadsheetml/2009/9/main" objectType="Radio" checked="Checked" lockText="1" noThreeD="1"/>
</file>

<file path=xl/ctrlProps/ctrlProp24.xml><?xml version="1.0" encoding="utf-8"?>
<formControlPr xmlns="http://schemas.microsoft.com/office/spreadsheetml/2009/9/main" objectType="GBox" noThreeD="1"/>
</file>

<file path=xl/ctrlProps/ctrlProp25.xml><?xml version="1.0" encoding="utf-8"?>
<formControlPr xmlns="http://schemas.microsoft.com/office/spreadsheetml/2009/9/main" objectType="Radio" firstButton="1" fmlaLink="$T$84" lockText="1" noThreeD="1"/>
</file>

<file path=xl/ctrlProps/ctrlProp26.xml><?xml version="1.0" encoding="utf-8"?>
<formControlPr xmlns="http://schemas.microsoft.com/office/spreadsheetml/2009/9/main" objectType="Radio" lockText="1" noThreeD="1"/>
</file>

<file path=xl/ctrlProps/ctrlProp27.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3779520</xdr:colOff>
      <xdr:row>5</xdr:row>
      <xdr:rowOff>762000</xdr:rowOff>
    </xdr:from>
    <xdr:to>
      <xdr:col>2</xdr:col>
      <xdr:colOff>4366260</xdr:colOff>
      <xdr:row>5</xdr:row>
      <xdr:rowOff>1143000</xdr:rowOff>
    </xdr:to>
    <xdr:sp macro="" textlink="">
      <xdr:nvSpPr>
        <xdr:cNvPr id="3" name="Pil: høyre 2">
          <a:extLst>
            <a:ext uri="{FF2B5EF4-FFF2-40B4-BE49-F238E27FC236}">
              <a16:creationId xmlns:a16="http://schemas.microsoft.com/office/drawing/2014/main" id="{00000000-0008-0000-0000-000003000000}"/>
            </a:ext>
          </a:extLst>
        </xdr:cNvPr>
        <xdr:cNvSpPr/>
      </xdr:nvSpPr>
      <xdr:spPr>
        <a:xfrm>
          <a:off x="4053840" y="2141220"/>
          <a:ext cx="586740" cy="381000"/>
        </a:xfrm>
        <a:prstGeom prst="rightArrow">
          <a:avLst/>
        </a:prstGeom>
        <a:solidFill>
          <a:srgbClr val="9D2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7621</xdr:colOff>
      <xdr:row>5</xdr:row>
      <xdr:rowOff>510540</xdr:rowOff>
    </xdr:from>
    <xdr:to>
      <xdr:col>2</xdr:col>
      <xdr:colOff>3147061</xdr:colOff>
      <xdr:row>5</xdr:row>
      <xdr:rowOff>1455576</xdr:rowOff>
    </xdr:to>
    <xdr:pic>
      <xdr:nvPicPr>
        <xdr:cNvPr id="7" name="Bild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281941" y="1889760"/>
          <a:ext cx="3139440" cy="945036"/>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4815840</xdr:colOff>
      <xdr:row>5</xdr:row>
      <xdr:rowOff>472441</xdr:rowOff>
    </xdr:from>
    <xdr:to>
      <xdr:col>2</xdr:col>
      <xdr:colOff>8187254</xdr:colOff>
      <xdr:row>5</xdr:row>
      <xdr:rowOff>1386841</xdr:rowOff>
    </xdr:to>
    <xdr:pic>
      <xdr:nvPicPr>
        <xdr:cNvPr id="8" name="Bild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5090160" y="1851661"/>
          <a:ext cx="3371414" cy="914400"/>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1815738</xdr:colOff>
      <xdr:row>13</xdr:row>
      <xdr:rowOff>678180</xdr:rowOff>
    </xdr:from>
    <xdr:to>
      <xdr:col>2</xdr:col>
      <xdr:colOff>5889172</xdr:colOff>
      <xdr:row>13</xdr:row>
      <xdr:rowOff>4185066</xdr:rowOff>
    </xdr:to>
    <xdr:pic>
      <xdr:nvPicPr>
        <xdr:cNvPr id="9" name="Bild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2087881" y="5402580"/>
          <a:ext cx="4073434" cy="3506886"/>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0</xdr:colOff>
      <xdr:row>23</xdr:row>
      <xdr:rowOff>0</xdr:rowOff>
    </xdr:from>
    <xdr:to>
      <xdr:col>2</xdr:col>
      <xdr:colOff>3838095</xdr:colOff>
      <xdr:row>29</xdr:row>
      <xdr:rowOff>91297</xdr:rowOff>
    </xdr:to>
    <xdr:pic>
      <xdr:nvPicPr>
        <xdr:cNvPr id="6" name="Bild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274320" y="12473940"/>
          <a:ext cx="3838095" cy="1142857"/>
        </a:xfrm>
        <a:prstGeom prst="rect">
          <a:avLst/>
        </a:prstGeom>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752475</xdr:colOff>
          <xdr:row>8</xdr:row>
          <xdr:rowOff>47625</xdr:rowOff>
        </xdr:from>
        <xdr:to>
          <xdr:col>3</xdr:col>
          <xdr:colOff>971550</xdr:colOff>
          <xdr:row>10</xdr:row>
          <xdr:rowOff>28575</xdr:rowOff>
        </xdr:to>
        <xdr:sp macro="" textlink="">
          <xdr:nvSpPr>
            <xdr:cNvPr id="81921" name="Check Box 1" hidden="1">
              <a:extLst>
                <a:ext uri="{63B3BB69-23CF-44E3-9099-C40C66FF867C}">
                  <a14:compatExt spid="_x0000_s81921"/>
                </a:ext>
                <a:ext uri="{FF2B5EF4-FFF2-40B4-BE49-F238E27FC236}">
                  <a16:creationId xmlns:a16="http://schemas.microsoft.com/office/drawing/2014/main" id="{00000000-0008-0000-0100-0000014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Start utfyllingsmodus</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22860</xdr:colOff>
      <xdr:row>5</xdr:row>
      <xdr:rowOff>140970</xdr:rowOff>
    </xdr:from>
    <xdr:to>
      <xdr:col>6</xdr:col>
      <xdr:colOff>632460</xdr:colOff>
      <xdr:row>20</xdr:row>
      <xdr:rowOff>140970</xdr:rowOff>
    </xdr:to>
    <xdr:graphicFrame macro="">
      <xdr:nvGraphicFramePr>
        <xdr:cNvPr id="3" name="Diagram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167640</xdr:colOff>
      <xdr:row>5</xdr:row>
      <xdr:rowOff>137160</xdr:rowOff>
    </xdr:from>
    <xdr:to>
      <xdr:col>12</xdr:col>
      <xdr:colOff>777240</xdr:colOff>
      <xdr:row>20</xdr:row>
      <xdr:rowOff>137160</xdr:rowOff>
    </xdr:to>
    <xdr:graphicFrame macro="">
      <xdr:nvGraphicFramePr>
        <xdr:cNvPr id="4" name="Diagram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53340</xdr:colOff>
      <xdr:row>5</xdr:row>
      <xdr:rowOff>152400</xdr:rowOff>
    </xdr:from>
    <xdr:to>
      <xdr:col>19</xdr:col>
      <xdr:colOff>403860</xdr:colOff>
      <xdr:row>20</xdr:row>
      <xdr:rowOff>152400</xdr:rowOff>
    </xdr:to>
    <xdr:graphicFrame macro="">
      <xdr:nvGraphicFramePr>
        <xdr:cNvPr id="5" name="Diagram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xdr:from>
          <xdr:col>1</xdr:col>
          <xdr:colOff>7620</xdr:colOff>
          <xdr:row>20</xdr:row>
          <xdr:rowOff>144780</xdr:rowOff>
        </xdr:from>
        <xdr:to>
          <xdr:col>6</xdr:col>
          <xdr:colOff>653220</xdr:colOff>
          <xdr:row>27</xdr:row>
          <xdr:rowOff>160020</xdr:rowOff>
        </xdr:to>
        <xdr:grpSp>
          <xdr:nvGrpSpPr>
            <xdr:cNvPr id="6" name="Gruppe 5">
              <a:extLst>
                <a:ext uri="{FF2B5EF4-FFF2-40B4-BE49-F238E27FC236}">
                  <a16:creationId xmlns:a16="http://schemas.microsoft.com/office/drawing/2014/main" id="{00000000-0008-0000-0400-000006000000}"/>
                </a:ext>
              </a:extLst>
            </xdr:cNvPr>
            <xdr:cNvGrpSpPr/>
          </xdr:nvGrpSpPr>
          <xdr:grpSpPr>
            <a:xfrm>
              <a:off x="188595" y="4411980"/>
              <a:ext cx="4455600" cy="1348740"/>
              <a:chOff x="198120" y="4282443"/>
              <a:chExt cx="4608001" cy="1295401"/>
            </a:xfrm>
          </xdr:grpSpPr>
          <xdr:sp macro="" textlink="">
            <xdr:nvSpPr>
              <xdr:cNvPr id="84993" name="Group Box 1" hidden="1">
                <a:extLst>
                  <a:ext uri="{63B3BB69-23CF-44E3-9099-C40C66FF867C}">
                    <a14:compatExt spid="_x0000_s84993"/>
                  </a:ext>
                  <a:ext uri="{FF2B5EF4-FFF2-40B4-BE49-F238E27FC236}">
                    <a16:creationId xmlns:a16="http://schemas.microsoft.com/office/drawing/2014/main" id="{00000000-0008-0000-0400-0000014C0100}"/>
                  </a:ext>
                </a:extLst>
              </xdr:cNvPr>
              <xdr:cNvSpPr/>
            </xdr:nvSpPr>
            <xdr:spPr bwMode="auto">
              <a:xfrm>
                <a:off x="198120" y="4282443"/>
                <a:ext cx="4608001" cy="1295401"/>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nb-NO" sz="800" b="0" i="0" u="none" strike="noStrike" baseline="0">
                    <a:solidFill>
                      <a:srgbClr val="000000"/>
                    </a:solidFill>
                    <a:latin typeface="Segoe UI"/>
                    <a:cs typeface="Segoe UI"/>
                  </a:rPr>
                  <a:t>Velg</a:t>
                </a:r>
              </a:p>
            </xdr:txBody>
          </xdr:sp>
          <xdr:sp macro="" textlink="">
            <xdr:nvSpPr>
              <xdr:cNvPr id="84994" name="Option Button 2" hidden="1">
                <a:extLst>
                  <a:ext uri="{63B3BB69-23CF-44E3-9099-C40C66FF867C}">
                    <a14:compatExt spid="_x0000_s84994"/>
                  </a:ext>
                  <a:ext uri="{FF2B5EF4-FFF2-40B4-BE49-F238E27FC236}">
                    <a16:creationId xmlns:a16="http://schemas.microsoft.com/office/drawing/2014/main" id="{00000000-0008-0000-0400-0000024C0100}"/>
                  </a:ext>
                </a:extLst>
              </xdr:cNvPr>
              <xdr:cNvSpPr/>
            </xdr:nvSpPr>
            <xdr:spPr bwMode="auto">
              <a:xfrm>
                <a:off x="426721" y="4549140"/>
                <a:ext cx="975360" cy="1828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Driftsmargin</a:t>
                </a:r>
              </a:p>
            </xdr:txBody>
          </xdr:sp>
          <xdr:sp macro="" textlink="">
            <xdr:nvSpPr>
              <xdr:cNvPr id="84995" name="Option Button 3" hidden="1">
                <a:extLst>
                  <a:ext uri="{63B3BB69-23CF-44E3-9099-C40C66FF867C}">
                    <a14:compatExt spid="_x0000_s84995"/>
                  </a:ext>
                  <a:ext uri="{FF2B5EF4-FFF2-40B4-BE49-F238E27FC236}">
                    <a16:creationId xmlns:a16="http://schemas.microsoft.com/office/drawing/2014/main" id="{00000000-0008-0000-0400-0000034C0100}"/>
                  </a:ext>
                </a:extLst>
              </xdr:cNvPr>
              <xdr:cNvSpPr/>
            </xdr:nvSpPr>
            <xdr:spPr bwMode="auto">
              <a:xfrm>
                <a:off x="1821180" y="4549140"/>
                <a:ext cx="1295400" cy="1828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Totalkapitalrentabilitet</a:t>
                </a:r>
              </a:p>
            </xdr:txBody>
          </xdr:sp>
          <xdr:sp macro="" textlink="">
            <xdr:nvSpPr>
              <xdr:cNvPr id="84996" name="Option Button 4" hidden="1">
                <a:extLst>
                  <a:ext uri="{63B3BB69-23CF-44E3-9099-C40C66FF867C}">
                    <a14:compatExt spid="_x0000_s84996"/>
                  </a:ext>
                  <a:ext uri="{FF2B5EF4-FFF2-40B4-BE49-F238E27FC236}">
                    <a16:creationId xmlns:a16="http://schemas.microsoft.com/office/drawing/2014/main" id="{00000000-0008-0000-0400-0000044C0100}"/>
                  </a:ext>
                </a:extLst>
              </xdr:cNvPr>
              <xdr:cNvSpPr/>
            </xdr:nvSpPr>
            <xdr:spPr bwMode="auto">
              <a:xfrm>
                <a:off x="3139440" y="4549140"/>
                <a:ext cx="1440000" cy="1828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Gjennomsnittlig gjeldsrente</a:t>
                </a:r>
              </a:p>
            </xdr:txBody>
          </xdr:sp>
          <xdr:sp macro="" textlink="">
            <xdr:nvSpPr>
              <xdr:cNvPr id="84997" name="Option Button 5" hidden="1">
                <a:extLst>
                  <a:ext uri="{63B3BB69-23CF-44E3-9099-C40C66FF867C}">
                    <a14:compatExt spid="_x0000_s84997"/>
                  </a:ext>
                  <a:ext uri="{FF2B5EF4-FFF2-40B4-BE49-F238E27FC236}">
                    <a16:creationId xmlns:a16="http://schemas.microsoft.com/office/drawing/2014/main" id="{00000000-0008-0000-0400-0000054C0100}"/>
                  </a:ext>
                </a:extLst>
              </xdr:cNvPr>
              <xdr:cNvSpPr/>
            </xdr:nvSpPr>
            <xdr:spPr bwMode="auto">
              <a:xfrm>
                <a:off x="426721" y="4838700"/>
                <a:ext cx="1386840" cy="1828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Egenkapitalrentabiliteten</a:t>
                </a:r>
              </a:p>
            </xdr:txBody>
          </xdr:sp>
          <xdr:sp macro="" textlink="">
            <xdr:nvSpPr>
              <xdr:cNvPr id="84998" name="Option Button 6" hidden="1">
                <a:extLst>
                  <a:ext uri="{63B3BB69-23CF-44E3-9099-C40C66FF867C}">
                    <a14:compatExt spid="_x0000_s84998"/>
                  </a:ext>
                  <a:ext uri="{FF2B5EF4-FFF2-40B4-BE49-F238E27FC236}">
                    <a16:creationId xmlns:a16="http://schemas.microsoft.com/office/drawing/2014/main" id="{00000000-0008-0000-0400-0000064C0100}"/>
                  </a:ext>
                </a:extLst>
              </xdr:cNvPr>
              <xdr:cNvSpPr/>
            </xdr:nvSpPr>
            <xdr:spPr bwMode="auto">
              <a:xfrm>
                <a:off x="1821180" y="4838700"/>
                <a:ext cx="1706880" cy="1828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Brekkstangformelen</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7</xdr:col>
          <xdr:colOff>144780</xdr:colOff>
          <xdr:row>20</xdr:row>
          <xdr:rowOff>144780</xdr:rowOff>
        </xdr:from>
        <xdr:to>
          <xdr:col>12</xdr:col>
          <xdr:colOff>790380</xdr:colOff>
          <xdr:row>27</xdr:row>
          <xdr:rowOff>175260</xdr:rowOff>
        </xdr:to>
        <xdr:grpSp>
          <xdr:nvGrpSpPr>
            <xdr:cNvPr id="2" name="Gruppe 1">
              <a:extLst>
                <a:ext uri="{FF2B5EF4-FFF2-40B4-BE49-F238E27FC236}">
                  <a16:creationId xmlns:a16="http://schemas.microsoft.com/office/drawing/2014/main" id="{00000000-0008-0000-0400-000002000000}"/>
                </a:ext>
              </a:extLst>
            </xdr:cNvPr>
            <xdr:cNvGrpSpPr/>
          </xdr:nvGrpSpPr>
          <xdr:grpSpPr>
            <a:xfrm>
              <a:off x="4897755" y="4411980"/>
              <a:ext cx="4427025" cy="1363980"/>
              <a:chOff x="5090160" y="4282442"/>
              <a:chExt cx="4608000" cy="1310640"/>
            </a:xfrm>
          </xdr:grpSpPr>
          <xdr:sp macro="" textlink="">
            <xdr:nvSpPr>
              <xdr:cNvPr id="84999" name="Group Box 7" hidden="1">
                <a:extLst>
                  <a:ext uri="{63B3BB69-23CF-44E3-9099-C40C66FF867C}">
                    <a14:compatExt spid="_x0000_s84999"/>
                  </a:ext>
                  <a:ext uri="{FF2B5EF4-FFF2-40B4-BE49-F238E27FC236}">
                    <a16:creationId xmlns:a16="http://schemas.microsoft.com/office/drawing/2014/main" id="{00000000-0008-0000-0400-0000074C0100}"/>
                  </a:ext>
                </a:extLst>
              </xdr:cNvPr>
              <xdr:cNvSpPr/>
            </xdr:nvSpPr>
            <xdr:spPr bwMode="auto">
              <a:xfrm>
                <a:off x="5090160" y="4282442"/>
                <a:ext cx="4608000" cy="131064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nb-NO" sz="800" b="0" i="0" u="none" strike="noStrike" baseline="0">
                    <a:solidFill>
                      <a:srgbClr val="000000"/>
                    </a:solidFill>
                    <a:latin typeface="Segoe UI"/>
                    <a:cs typeface="Segoe UI"/>
                  </a:rPr>
                  <a:t>Velg</a:t>
                </a:r>
              </a:p>
            </xdr:txBody>
          </xdr:sp>
          <xdr:sp macro="" textlink="">
            <xdr:nvSpPr>
              <xdr:cNvPr id="85000" name="Option Button 8" hidden="1">
                <a:extLst>
                  <a:ext uri="{63B3BB69-23CF-44E3-9099-C40C66FF867C}">
                    <a14:compatExt spid="_x0000_s85000"/>
                  </a:ext>
                  <a:ext uri="{FF2B5EF4-FFF2-40B4-BE49-F238E27FC236}">
                    <a16:creationId xmlns:a16="http://schemas.microsoft.com/office/drawing/2014/main" id="{00000000-0008-0000-0400-0000084C0100}"/>
                  </a:ext>
                </a:extLst>
              </xdr:cNvPr>
              <xdr:cNvSpPr/>
            </xdr:nvSpPr>
            <xdr:spPr bwMode="auto">
              <a:xfrm>
                <a:off x="5288280" y="4511040"/>
                <a:ext cx="1295400" cy="2133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Kapitalens omløpshastighet</a:t>
                </a:r>
              </a:p>
            </xdr:txBody>
          </xdr:sp>
          <xdr:sp macro="" textlink="">
            <xdr:nvSpPr>
              <xdr:cNvPr id="85001" name="Option Button 9" hidden="1">
                <a:extLst>
                  <a:ext uri="{63B3BB69-23CF-44E3-9099-C40C66FF867C}">
                    <a14:compatExt spid="_x0000_s85001"/>
                  </a:ext>
                  <a:ext uri="{FF2B5EF4-FFF2-40B4-BE49-F238E27FC236}">
                    <a16:creationId xmlns:a16="http://schemas.microsoft.com/office/drawing/2014/main" id="{00000000-0008-0000-0400-0000094C0100}"/>
                  </a:ext>
                </a:extLst>
              </xdr:cNvPr>
              <xdr:cNvSpPr/>
            </xdr:nvSpPr>
            <xdr:spPr bwMode="auto">
              <a:xfrm>
                <a:off x="6865620" y="4511040"/>
                <a:ext cx="1295400" cy="2133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Omløpshastighet kunder</a:t>
                </a:r>
              </a:p>
            </xdr:txBody>
          </xdr:sp>
          <xdr:sp macro="" textlink="">
            <xdr:nvSpPr>
              <xdr:cNvPr id="85002" name="Option Button 10" hidden="1">
                <a:extLst>
                  <a:ext uri="{63B3BB69-23CF-44E3-9099-C40C66FF867C}">
                    <a14:compatExt spid="_x0000_s85002"/>
                  </a:ext>
                  <a:ext uri="{FF2B5EF4-FFF2-40B4-BE49-F238E27FC236}">
                    <a16:creationId xmlns:a16="http://schemas.microsoft.com/office/drawing/2014/main" id="{00000000-0008-0000-0400-00000A4C0100}"/>
                  </a:ext>
                </a:extLst>
              </xdr:cNvPr>
              <xdr:cNvSpPr/>
            </xdr:nvSpPr>
            <xdr:spPr bwMode="auto">
              <a:xfrm>
                <a:off x="8328660" y="4511040"/>
                <a:ext cx="1295400" cy="2133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Kredittiden til kundene</a:t>
                </a:r>
              </a:p>
            </xdr:txBody>
          </xdr:sp>
          <xdr:sp macro="" textlink="">
            <xdr:nvSpPr>
              <xdr:cNvPr id="85003" name="Option Button 11" hidden="1">
                <a:extLst>
                  <a:ext uri="{63B3BB69-23CF-44E3-9099-C40C66FF867C}">
                    <a14:compatExt spid="_x0000_s85003"/>
                  </a:ext>
                  <a:ext uri="{FF2B5EF4-FFF2-40B4-BE49-F238E27FC236}">
                    <a16:creationId xmlns:a16="http://schemas.microsoft.com/office/drawing/2014/main" id="{00000000-0008-0000-0400-00000B4C0100}"/>
                  </a:ext>
                </a:extLst>
              </xdr:cNvPr>
              <xdr:cNvSpPr/>
            </xdr:nvSpPr>
            <xdr:spPr bwMode="auto">
              <a:xfrm>
                <a:off x="5295900" y="4808220"/>
                <a:ext cx="1440180" cy="2133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Omløpshastighet leverandører</a:t>
                </a:r>
              </a:p>
            </xdr:txBody>
          </xdr:sp>
          <xdr:sp macro="" textlink="">
            <xdr:nvSpPr>
              <xdr:cNvPr id="85004" name="Option Button 12" hidden="1">
                <a:extLst>
                  <a:ext uri="{63B3BB69-23CF-44E3-9099-C40C66FF867C}">
                    <a14:compatExt spid="_x0000_s85004"/>
                  </a:ext>
                  <a:ext uri="{FF2B5EF4-FFF2-40B4-BE49-F238E27FC236}">
                    <a16:creationId xmlns:a16="http://schemas.microsoft.com/office/drawing/2014/main" id="{00000000-0008-0000-0400-00000C4C0100}"/>
                  </a:ext>
                </a:extLst>
              </xdr:cNvPr>
              <xdr:cNvSpPr/>
            </xdr:nvSpPr>
            <xdr:spPr bwMode="auto">
              <a:xfrm>
                <a:off x="6873240" y="4808220"/>
                <a:ext cx="1295400" cy="2133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Kredittiden leverandører</a:t>
                </a:r>
              </a:p>
            </xdr:txBody>
          </xdr:sp>
          <xdr:sp macro="" textlink="">
            <xdr:nvSpPr>
              <xdr:cNvPr id="85005" name="Option Button 13" hidden="1">
                <a:extLst>
                  <a:ext uri="{63B3BB69-23CF-44E3-9099-C40C66FF867C}">
                    <a14:compatExt spid="_x0000_s85005"/>
                  </a:ext>
                  <a:ext uri="{FF2B5EF4-FFF2-40B4-BE49-F238E27FC236}">
                    <a16:creationId xmlns:a16="http://schemas.microsoft.com/office/drawing/2014/main" id="{00000000-0008-0000-0400-00000D4C0100}"/>
                  </a:ext>
                </a:extLst>
              </xdr:cNvPr>
              <xdr:cNvSpPr/>
            </xdr:nvSpPr>
            <xdr:spPr bwMode="auto">
              <a:xfrm>
                <a:off x="8328660" y="4808220"/>
                <a:ext cx="1295400" cy="2133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Omløpshastighet varer</a:t>
                </a:r>
              </a:p>
            </xdr:txBody>
          </xdr:sp>
          <xdr:sp macro="" textlink="">
            <xdr:nvSpPr>
              <xdr:cNvPr id="85007" name="Option Button 15" hidden="1">
                <a:extLst>
                  <a:ext uri="{63B3BB69-23CF-44E3-9099-C40C66FF867C}">
                    <a14:compatExt spid="_x0000_s85007"/>
                  </a:ext>
                  <a:ext uri="{FF2B5EF4-FFF2-40B4-BE49-F238E27FC236}">
                    <a16:creationId xmlns:a16="http://schemas.microsoft.com/office/drawing/2014/main" id="{00000000-0008-0000-0400-00000F4C0100}"/>
                  </a:ext>
                </a:extLst>
              </xdr:cNvPr>
              <xdr:cNvSpPr/>
            </xdr:nvSpPr>
            <xdr:spPr bwMode="auto">
              <a:xfrm>
                <a:off x="5303519" y="5097780"/>
                <a:ext cx="1295400" cy="21336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Lagringstid varer</a:t>
                </a:r>
              </a:p>
            </xdr:txBody>
          </xdr:sp>
        </xdr:grpSp>
        <xdr:clientData/>
      </xdr:twoCellAnchor>
    </mc:Choice>
    <mc:Fallback/>
  </mc:AlternateContent>
  <xdr:twoCellAnchor>
    <xdr:from>
      <xdr:col>1</xdr:col>
      <xdr:colOff>45720</xdr:colOff>
      <xdr:row>32</xdr:row>
      <xdr:rowOff>167640</xdr:rowOff>
    </xdr:from>
    <xdr:to>
      <xdr:col>6</xdr:col>
      <xdr:colOff>655320</xdr:colOff>
      <xdr:row>47</xdr:row>
      <xdr:rowOff>167640</xdr:rowOff>
    </xdr:to>
    <xdr:graphicFrame macro="">
      <xdr:nvGraphicFramePr>
        <xdr:cNvPr id="19" name="Diagram 18">
          <a:extLst>
            <a:ext uri="{FF2B5EF4-FFF2-40B4-BE49-F238E27FC236}">
              <a16:creationId xmlns:a16="http://schemas.microsoft.com/office/drawing/2014/main" id="{00000000-0008-0000-04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180975</xdr:colOff>
          <xdr:row>48</xdr:row>
          <xdr:rowOff>19050</xdr:rowOff>
        </xdr:from>
        <xdr:to>
          <xdr:col>6</xdr:col>
          <xdr:colOff>666750</xdr:colOff>
          <xdr:row>55</xdr:row>
          <xdr:rowOff>57150</xdr:rowOff>
        </xdr:to>
        <xdr:sp macro="" textlink="">
          <xdr:nvSpPr>
            <xdr:cNvPr id="85008" name="Group Box 16" hidden="1">
              <a:extLst>
                <a:ext uri="{63B3BB69-23CF-44E3-9099-C40C66FF867C}">
                  <a14:compatExt spid="_x0000_s85008"/>
                </a:ext>
                <a:ext uri="{FF2B5EF4-FFF2-40B4-BE49-F238E27FC236}">
                  <a16:creationId xmlns:a16="http://schemas.microsoft.com/office/drawing/2014/main" id="{00000000-0008-0000-0400-0000104C01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nb-NO" sz="800" b="0" i="0" u="none" strike="noStrike" baseline="0">
                  <a:solidFill>
                    <a:srgbClr val="000000"/>
                  </a:solidFill>
                  <a:latin typeface="Segoe UI"/>
                  <a:cs typeface="Segoe UI"/>
                </a:rPr>
                <a:t>Velg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161925</xdr:colOff>
          <xdr:row>49</xdr:row>
          <xdr:rowOff>133350</xdr:rowOff>
        </xdr:from>
        <xdr:to>
          <xdr:col>3</xdr:col>
          <xdr:colOff>19050</xdr:colOff>
          <xdr:row>50</xdr:row>
          <xdr:rowOff>171450</xdr:rowOff>
        </xdr:to>
        <xdr:sp macro="" textlink="">
          <xdr:nvSpPr>
            <xdr:cNvPr id="85009" name="Option Button 17" hidden="1">
              <a:extLst>
                <a:ext uri="{63B3BB69-23CF-44E3-9099-C40C66FF867C}">
                  <a14:compatExt spid="_x0000_s85009"/>
                </a:ext>
                <a:ext uri="{FF2B5EF4-FFF2-40B4-BE49-F238E27FC236}">
                  <a16:creationId xmlns:a16="http://schemas.microsoft.com/office/drawing/2014/main" id="{00000000-0008-0000-0400-000011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Likviditetsgrad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49</xdr:row>
          <xdr:rowOff>133350</xdr:rowOff>
        </xdr:from>
        <xdr:to>
          <xdr:col>4</xdr:col>
          <xdr:colOff>647700</xdr:colOff>
          <xdr:row>50</xdr:row>
          <xdr:rowOff>171450</xdr:rowOff>
        </xdr:to>
        <xdr:sp macro="" textlink="">
          <xdr:nvSpPr>
            <xdr:cNvPr id="85010" name="Option Button 18" hidden="1">
              <a:extLst>
                <a:ext uri="{63B3BB69-23CF-44E3-9099-C40C66FF867C}">
                  <a14:compatExt spid="_x0000_s85010"/>
                </a:ext>
                <a:ext uri="{FF2B5EF4-FFF2-40B4-BE49-F238E27FC236}">
                  <a16:creationId xmlns:a16="http://schemas.microsoft.com/office/drawing/2014/main" id="{00000000-0008-0000-0400-000012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Likviditetsgrad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495300</xdr:colOff>
          <xdr:row>49</xdr:row>
          <xdr:rowOff>142875</xdr:rowOff>
        </xdr:from>
        <xdr:to>
          <xdr:col>6</xdr:col>
          <xdr:colOff>647700</xdr:colOff>
          <xdr:row>50</xdr:row>
          <xdr:rowOff>171450</xdr:rowOff>
        </xdr:to>
        <xdr:sp macro="" textlink="">
          <xdr:nvSpPr>
            <xdr:cNvPr id="85011" name="Option Button 19" hidden="1">
              <a:extLst>
                <a:ext uri="{63B3BB69-23CF-44E3-9099-C40C66FF867C}">
                  <a14:compatExt spid="_x0000_s85011"/>
                </a:ext>
                <a:ext uri="{FF2B5EF4-FFF2-40B4-BE49-F238E27FC236}">
                  <a16:creationId xmlns:a16="http://schemas.microsoft.com/office/drawing/2014/main" id="{00000000-0008-0000-0400-000013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Arbeidskapitalen / Driftsinntekter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171450</xdr:colOff>
          <xdr:row>51</xdr:row>
          <xdr:rowOff>38100</xdr:rowOff>
        </xdr:from>
        <xdr:to>
          <xdr:col>3</xdr:col>
          <xdr:colOff>19050</xdr:colOff>
          <xdr:row>52</xdr:row>
          <xdr:rowOff>57150</xdr:rowOff>
        </xdr:to>
        <xdr:sp macro="" textlink="">
          <xdr:nvSpPr>
            <xdr:cNvPr id="85012" name="Option Button 20" hidden="1">
              <a:extLst>
                <a:ext uri="{63B3BB69-23CF-44E3-9099-C40C66FF867C}">
                  <a14:compatExt spid="_x0000_s85012"/>
                </a:ext>
                <a:ext uri="{FF2B5EF4-FFF2-40B4-BE49-F238E27FC236}">
                  <a16:creationId xmlns:a16="http://schemas.microsoft.com/office/drawing/2014/main" id="{00000000-0008-0000-0400-000014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EBITDA / Driftsinntekter</a:t>
              </a:r>
            </a:p>
          </xdr:txBody>
        </xdr:sp>
        <xdr:clientData/>
      </xdr:twoCellAnchor>
    </mc:Choice>
    <mc:Fallback/>
  </mc:AlternateContent>
  <xdr:twoCellAnchor>
    <xdr:from>
      <xdr:col>7</xdr:col>
      <xdr:colOff>152400</xdr:colOff>
      <xdr:row>32</xdr:row>
      <xdr:rowOff>167640</xdr:rowOff>
    </xdr:from>
    <xdr:to>
      <xdr:col>12</xdr:col>
      <xdr:colOff>762000</xdr:colOff>
      <xdr:row>47</xdr:row>
      <xdr:rowOff>167640</xdr:rowOff>
    </xdr:to>
    <xdr:graphicFrame macro="">
      <xdr:nvGraphicFramePr>
        <xdr:cNvPr id="27" name="Diagram 26">
          <a:extLst>
            <a:ext uri="{FF2B5EF4-FFF2-40B4-BE49-F238E27FC236}">
              <a16:creationId xmlns:a16="http://schemas.microsoft.com/office/drawing/2014/main" id="{00000000-0008-0000-04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133350</xdr:colOff>
          <xdr:row>48</xdr:row>
          <xdr:rowOff>19050</xdr:rowOff>
        </xdr:from>
        <xdr:to>
          <xdr:col>13</xdr:col>
          <xdr:colOff>19050</xdr:colOff>
          <xdr:row>55</xdr:row>
          <xdr:rowOff>57150</xdr:rowOff>
        </xdr:to>
        <xdr:sp macro="" textlink="">
          <xdr:nvSpPr>
            <xdr:cNvPr id="85013" name="Group Box 21" hidden="1">
              <a:extLst>
                <a:ext uri="{63B3BB69-23CF-44E3-9099-C40C66FF867C}">
                  <a14:compatExt spid="_x0000_s85013"/>
                </a:ext>
                <a:ext uri="{FF2B5EF4-FFF2-40B4-BE49-F238E27FC236}">
                  <a16:creationId xmlns:a16="http://schemas.microsoft.com/office/drawing/2014/main" id="{00000000-0008-0000-0400-0000154C01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nb-NO" sz="800" b="0" i="0" u="none" strike="noStrike" baseline="0">
                  <a:solidFill>
                    <a:srgbClr val="000000"/>
                  </a:solidFill>
                  <a:latin typeface="Segoe UI"/>
                  <a:cs typeface="Segoe UI"/>
                </a:rPr>
                <a:t>Velg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352425</xdr:colOff>
          <xdr:row>49</xdr:row>
          <xdr:rowOff>133350</xdr:rowOff>
        </xdr:from>
        <xdr:to>
          <xdr:col>8</xdr:col>
          <xdr:colOff>590550</xdr:colOff>
          <xdr:row>50</xdr:row>
          <xdr:rowOff>161925</xdr:rowOff>
        </xdr:to>
        <xdr:sp macro="" textlink="">
          <xdr:nvSpPr>
            <xdr:cNvPr id="85014" name="Option Button 22" hidden="1">
              <a:extLst>
                <a:ext uri="{63B3BB69-23CF-44E3-9099-C40C66FF867C}">
                  <a14:compatExt spid="_x0000_s85014"/>
                </a:ext>
                <a:ext uri="{FF2B5EF4-FFF2-40B4-BE49-F238E27FC236}">
                  <a16:creationId xmlns:a16="http://schemas.microsoft.com/office/drawing/2014/main" id="{00000000-0008-0000-0400-000016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Arbeidskapitalen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323850</xdr:colOff>
          <xdr:row>49</xdr:row>
          <xdr:rowOff>133350</xdr:rowOff>
        </xdr:from>
        <xdr:to>
          <xdr:col>10</xdr:col>
          <xdr:colOff>561975</xdr:colOff>
          <xdr:row>50</xdr:row>
          <xdr:rowOff>161925</xdr:rowOff>
        </xdr:to>
        <xdr:sp macro="" textlink="">
          <xdr:nvSpPr>
            <xdr:cNvPr id="85015" name="Option Button 23" hidden="1">
              <a:extLst>
                <a:ext uri="{63B3BB69-23CF-44E3-9099-C40C66FF867C}">
                  <a14:compatExt spid="_x0000_s85015"/>
                </a:ext>
                <a:ext uri="{FF2B5EF4-FFF2-40B4-BE49-F238E27FC236}">
                  <a16:creationId xmlns:a16="http://schemas.microsoft.com/office/drawing/2014/main" id="{00000000-0008-0000-0400-000017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EBITDA</a:t>
              </a:r>
            </a:p>
          </xdr:txBody>
        </xdr:sp>
        <xdr:clientData/>
      </xdr:twoCellAnchor>
    </mc:Choice>
    <mc:Fallback/>
  </mc:AlternateContent>
  <xdr:twoCellAnchor>
    <xdr:from>
      <xdr:col>14</xdr:col>
      <xdr:colOff>53340</xdr:colOff>
      <xdr:row>32</xdr:row>
      <xdr:rowOff>167640</xdr:rowOff>
    </xdr:from>
    <xdr:to>
      <xdr:col>19</xdr:col>
      <xdr:colOff>662940</xdr:colOff>
      <xdr:row>47</xdr:row>
      <xdr:rowOff>167640</xdr:rowOff>
    </xdr:to>
    <xdr:graphicFrame macro="">
      <xdr:nvGraphicFramePr>
        <xdr:cNvPr id="31" name="Diagram 30">
          <a:extLst>
            <a:ext uri="{FF2B5EF4-FFF2-40B4-BE49-F238E27FC236}">
              <a16:creationId xmlns:a16="http://schemas.microsoft.com/office/drawing/2014/main" id="{00000000-0008-0000-04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57150</xdr:colOff>
          <xdr:row>48</xdr:row>
          <xdr:rowOff>9525</xdr:rowOff>
        </xdr:from>
        <xdr:to>
          <xdr:col>19</xdr:col>
          <xdr:colOff>723900</xdr:colOff>
          <xdr:row>55</xdr:row>
          <xdr:rowOff>57150</xdr:rowOff>
        </xdr:to>
        <xdr:sp macro="" textlink="">
          <xdr:nvSpPr>
            <xdr:cNvPr id="85016" name="Group Box 24" hidden="1">
              <a:extLst>
                <a:ext uri="{63B3BB69-23CF-44E3-9099-C40C66FF867C}">
                  <a14:compatExt spid="_x0000_s85016"/>
                </a:ext>
                <a:ext uri="{FF2B5EF4-FFF2-40B4-BE49-F238E27FC236}">
                  <a16:creationId xmlns:a16="http://schemas.microsoft.com/office/drawing/2014/main" id="{00000000-0008-0000-0400-0000184C01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nb-NO" sz="800" b="0" i="0" u="none" strike="noStrike" baseline="0">
                  <a:solidFill>
                    <a:srgbClr val="000000"/>
                  </a:solidFill>
                  <a:latin typeface="Segoe UI"/>
                  <a:cs typeface="Segoe UI"/>
                </a:rPr>
                <a:t>Velg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219075</xdr:colOff>
          <xdr:row>49</xdr:row>
          <xdr:rowOff>95250</xdr:rowOff>
        </xdr:from>
        <xdr:to>
          <xdr:col>15</xdr:col>
          <xdr:colOff>457200</xdr:colOff>
          <xdr:row>50</xdr:row>
          <xdr:rowOff>133350</xdr:rowOff>
        </xdr:to>
        <xdr:sp macro="" textlink="">
          <xdr:nvSpPr>
            <xdr:cNvPr id="85017" name="Option Button 25" hidden="1">
              <a:extLst>
                <a:ext uri="{63B3BB69-23CF-44E3-9099-C40C66FF867C}">
                  <a14:compatExt spid="_x0000_s85017"/>
                </a:ext>
                <a:ext uri="{FF2B5EF4-FFF2-40B4-BE49-F238E27FC236}">
                  <a16:creationId xmlns:a16="http://schemas.microsoft.com/office/drawing/2014/main" id="{00000000-0008-0000-0400-000019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Gjeldsgrad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49</xdr:row>
          <xdr:rowOff>95250</xdr:rowOff>
        </xdr:from>
        <xdr:to>
          <xdr:col>17</xdr:col>
          <xdr:colOff>276225</xdr:colOff>
          <xdr:row>50</xdr:row>
          <xdr:rowOff>133350</xdr:rowOff>
        </xdr:to>
        <xdr:sp macro="" textlink="">
          <xdr:nvSpPr>
            <xdr:cNvPr id="85018" name="Option Button 26" hidden="1">
              <a:extLst>
                <a:ext uri="{63B3BB69-23CF-44E3-9099-C40C66FF867C}">
                  <a14:compatExt spid="_x0000_s85018"/>
                </a:ext>
                <a:ext uri="{FF2B5EF4-FFF2-40B4-BE49-F238E27FC236}">
                  <a16:creationId xmlns:a16="http://schemas.microsoft.com/office/drawing/2014/main" id="{00000000-0008-0000-0400-00001A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Egenkapitalandel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704850</xdr:colOff>
          <xdr:row>49</xdr:row>
          <xdr:rowOff>95250</xdr:rowOff>
        </xdr:from>
        <xdr:to>
          <xdr:col>19</xdr:col>
          <xdr:colOff>704850</xdr:colOff>
          <xdr:row>50</xdr:row>
          <xdr:rowOff>133350</xdr:rowOff>
        </xdr:to>
        <xdr:sp macro="" textlink="">
          <xdr:nvSpPr>
            <xdr:cNvPr id="85019" name="Option Button 27" hidden="1">
              <a:extLst>
                <a:ext uri="{63B3BB69-23CF-44E3-9099-C40C66FF867C}">
                  <a14:compatExt spid="_x0000_s85019"/>
                </a:ext>
                <a:ext uri="{FF2B5EF4-FFF2-40B4-BE49-F238E27FC236}">
                  <a16:creationId xmlns:a16="http://schemas.microsoft.com/office/drawing/2014/main" id="{00000000-0008-0000-0400-00001B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nb-NO" sz="800" b="0" i="0" u="none" strike="noStrike" baseline="0">
                  <a:solidFill>
                    <a:srgbClr val="000000"/>
                  </a:solidFill>
                  <a:latin typeface="Segoe UI"/>
                  <a:cs typeface="Segoe UI"/>
                </a:rPr>
                <a:t>Langsiktig anleggsfinansering</a:t>
              </a:r>
            </a:p>
          </xdr:txBody>
        </xdr:sp>
        <xdr:clientData/>
      </xdr:twoCellAnchor>
    </mc:Choice>
    <mc:Fallback/>
  </mc:AlternateContent>
</xdr:wsDr>
</file>

<file path=xl/theme/theme1.xml><?xml version="1.0" encoding="utf-8"?>
<a:theme xmlns:a="http://schemas.openxmlformats.org/drawingml/2006/main" name="Office Theme">
  <a:themeElements>
    <a:clrScheme name="PwC Orange">
      <a:dk1>
        <a:srgbClr val="000000"/>
      </a:dk1>
      <a:lt1>
        <a:srgbClr val="FFFFFF"/>
      </a:lt1>
      <a:dk2>
        <a:srgbClr val="DC6900"/>
      </a:dk2>
      <a:lt2>
        <a:srgbClr val="FFFFFF"/>
      </a:lt2>
      <a:accent1>
        <a:srgbClr val="DC6900"/>
      </a:accent1>
      <a:accent2>
        <a:srgbClr val="FFB600"/>
      </a:accent2>
      <a:accent3>
        <a:srgbClr val="602320"/>
      </a:accent3>
      <a:accent4>
        <a:srgbClr val="DB536A"/>
      </a:accent4>
      <a:accent5>
        <a:srgbClr val="A32020"/>
      </a:accent5>
      <a:accent6>
        <a:srgbClr val="E0301E"/>
      </a:accent6>
      <a:hlink>
        <a:srgbClr val="DC6900"/>
      </a:hlink>
      <a:folHlink>
        <a:srgbClr val="DC690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26" Type="http://schemas.openxmlformats.org/officeDocument/2006/relationships/ctrlProp" Target="../ctrlProps/ctrlProp25.xml"/><Relationship Id="rId3" Type="http://schemas.openxmlformats.org/officeDocument/2006/relationships/ctrlProp" Target="../ctrlProps/ctrlProp2.x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5" Type="http://schemas.openxmlformats.org/officeDocument/2006/relationships/ctrlProp" Target="../ctrlProps/ctrlProp24.xml"/><Relationship Id="rId2" Type="http://schemas.openxmlformats.org/officeDocument/2006/relationships/vmlDrawing" Target="../drawings/vmlDrawing2.v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drawing" Target="../drawings/drawing3.xml"/><Relationship Id="rId6" Type="http://schemas.openxmlformats.org/officeDocument/2006/relationships/ctrlProp" Target="../ctrlProps/ctrlProp5.xml"/><Relationship Id="rId11" Type="http://schemas.openxmlformats.org/officeDocument/2006/relationships/ctrlProp" Target="../ctrlProps/ctrlProp10.xml"/><Relationship Id="rId24" Type="http://schemas.openxmlformats.org/officeDocument/2006/relationships/ctrlProp" Target="../ctrlProps/ctrlProp23.xml"/><Relationship Id="rId5" Type="http://schemas.openxmlformats.org/officeDocument/2006/relationships/ctrlProp" Target="../ctrlProps/ctrlProp4.xml"/><Relationship Id="rId15" Type="http://schemas.openxmlformats.org/officeDocument/2006/relationships/ctrlProp" Target="../ctrlProps/ctrlProp14.xml"/><Relationship Id="rId23" Type="http://schemas.openxmlformats.org/officeDocument/2006/relationships/ctrlProp" Target="../ctrlProps/ctrlProp22.xml"/><Relationship Id="rId28" Type="http://schemas.openxmlformats.org/officeDocument/2006/relationships/ctrlProp" Target="../ctrlProps/ctrlProp27.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ctrlProp" Target="../ctrlProps/ctrlProp3.xml"/><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 Id="rId27" Type="http://schemas.openxmlformats.org/officeDocument/2006/relationships/ctrlProp" Target="../ctrlProps/ctrlProp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4"/>
  <dimension ref="B1:C22"/>
  <sheetViews>
    <sheetView showGridLines="0" tabSelected="1" zoomScaleNormal="100" workbookViewId="0">
      <selection activeCell="D8" sqref="D8"/>
    </sheetView>
  </sheetViews>
  <sheetFormatPr baseColWidth="10" defaultColWidth="11.5703125" defaultRowHeight="14.25" x14ac:dyDescent="0.2"/>
  <cols>
    <col min="1" max="1" width="3" style="3" customWidth="1"/>
    <col min="2" max="2" width="1" style="3" customWidth="1"/>
    <col min="3" max="3" width="126.85546875" style="31" customWidth="1"/>
    <col min="4" max="16384" width="11.5703125" style="3"/>
  </cols>
  <sheetData>
    <row r="1" spans="2:3" s="1" customFormat="1" ht="31.9" customHeight="1" x14ac:dyDescent="0.25">
      <c r="B1" s="1" t="s">
        <v>117</v>
      </c>
      <c r="C1" s="29"/>
    </row>
    <row r="2" spans="2:3" s="2" customFormat="1" ht="18" x14ac:dyDescent="0.25">
      <c r="B2" s="34">
        <f>Firmanavn</f>
        <v>0</v>
      </c>
      <c r="C2" s="30"/>
    </row>
    <row r="3" spans="2:3" ht="31.9" customHeight="1" x14ac:dyDescent="0.2"/>
    <row r="4" spans="2:3" ht="15" x14ac:dyDescent="0.2">
      <c r="C4" s="32" t="s">
        <v>118</v>
      </c>
    </row>
    <row r="6" spans="2:3" ht="132" customHeight="1" x14ac:dyDescent="0.2">
      <c r="C6" s="33" t="s">
        <v>119</v>
      </c>
    </row>
    <row r="7" spans="2:3" ht="31.9" customHeight="1" x14ac:dyDescent="0.2"/>
    <row r="8" spans="2:3" s="32" customFormat="1" ht="15" x14ac:dyDescent="0.25">
      <c r="C8" s="32" t="s">
        <v>120</v>
      </c>
    </row>
    <row r="10" spans="2:3" x14ac:dyDescent="0.2">
      <c r="C10" s="31" t="s">
        <v>121</v>
      </c>
    </row>
    <row r="11" spans="2:3" ht="31.9" customHeight="1" x14ac:dyDescent="0.2"/>
    <row r="12" spans="2:3" ht="15" x14ac:dyDescent="0.2">
      <c r="C12" s="32" t="s">
        <v>115</v>
      </c>
    </row>
    <row r="14" spans="2:3" ht="338.45" customHeight="1" x14ac:dyDescent="0.2">
      <c r="C14" s="33" t="s">
        <v>122</v>
      </c>
    </row>
    <row r="15" spans="2:3" ht="31.9" customHeight="1" x14ac:dyDescent="0.2"/>
    <row r="16" spans="2:3" s="32" customFormat="1" ht="15" x14ac:dyDescent="0.25">
      <c r="C16" s="32" t="s">
        <v>123</v>
      </c>
    </row>
    <row r="18" spans="3:3" ht="28.5" x14ac:dyDescent="0.2">
      <c r="C18" s="33" t="s">
        <v>125</v>
      </c>
    </row>
    <row r="19" spans="3:3" ht="31.9" customHeight="1" x14ac:dyDescent="0.2"/>
    <row r="20" spans="3:3" ht="15" x14ac:dyDescent="0.2">
      <c r="C20" s="32" t="s">
        <v>124</v>
      </c>
    </row>
    <row r="22" spans="3:3" ht="57" x14ac:dyDescent="0.2">
      <c r="C22" s="33" t="s">
        <v>126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6"/>
  <dimension ref="B1:I13"/>
  <sheetViews>
    <sheetView showGridLines="0" workbookViewId="0">
      <selection activeCell="D8" sqref="D8"/>
    </sheetView>
  </sheetViews>
  <sheetFormatPr baseColWidth="10" defaultColWidth="11.5703125" defaultRowHeight="14.25" x14ac:dyDescent="0.2"/>
  <cols>
    <col min="1" max="1" width="2.7109375" style="3" customWidth="1"/>
    <col min="2" max="3" width="11.5703125" style="3"/>
    <col min="4" max="4" width="46" style="3" customWidth="1"/>
    <col min="5" max="5" width="12.42578125" style="3" customWidth="1"/>
    <col min="6" max="7" width="11.5703125" style="3"/>
    <col min="8" max="8" width="11.5703125" style="3" hidden="1" customWidth="1"/>
    <col min="9" max="16384" width="11.5703125" style="3"/>
  </cols>
  <sheetData>
    <row r="1" spans="2:9" s="1" customFormat="1" ht="31.9" customHeight="1" x14ac:dyDescent="0.25">
      <c r="B1" s="1" t="s">
        <v>5</v>
      </c>
    </row>
    <row r="2" spans="2:9" s="2" customFormat="1" ht="18" x14ac:dyDescent="0.25">
      <c r="B2" s="34">
        <f>Firmanavn</f>
        <v>0</v>
      </c>
    </row>
    <row r="3" spans="2:9" ht="31.9" customHeight="1" x14ac:dyDescent="0.2"/>
    <row r="4" spans="2:9" x14ac:dyDescent="0.2">
      <c r="B4" s="3" t="s">
        <v>6</v>
      </c>
      <c r="D4" s="4"/>
    </row>
    <row r="5" spans="2:9" ht="4.1500000000000004" customHeight="1" x14ac:dyDescent="0.2"/>
    <row r="6" spans="2:9" x14ac:dyDescent="0.2">
      <c r="B6" s="3" t="s">
        <v>7</v>
      </c>
      <c r="D6" s="4"/>
    </row>
    <row r="7" spans="2:9" ht="4.1500000000000004" customHeight="1" x14ac:dyDescent="0.2"/>
    <row r="8" spans="2:9" x14ac:dyDescent="0.2">
      <c r="B8" s="3" t="s">
        <v>98</v>
      </c>
      <c r="D8" s="5"/>
      <c r="F8" s="17"/>
      <c r="G8" s="17"/>
      <c r="H8" s="17"/>
      <c r="I8" s="17"/>
    </row>
    <row r="9" spans="2:9" ht="4.1500000000000004" customHeight="1" x14ac:dyDescent="0.2"/>
    <row r="10" spans="2:9" x14ac:dyDescent="0.2">
      <c r="B10" s="3" t="s">
        <v>8</v>
      </c>
    </row>
    <row r="13" spans="2:9" x14ac:dyDescent="0.2">
      <c r="H13" s="12" t="b">
        <v>1</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21" r:id="rId4" name="Check Box 1">
              <controlPr defaultSize="0" autoFill="0" autoLine="0" autoPict="0">
                <anchor moveWithCells="1">
                  <from>
                    <xdr:col>2</xdr:col>
                    <xdr:colOff>752475</xdr:colOff>
                    <xdr:row>8</xdr:row>
                    <xdr:rowOff>47625</xdr:rowOff>
                  </from>
                  <to>
                    <xdr:col>3</xdr:col>
                    <xdr:colOff>971550</xdr:colOff>
                    <xdr:row>10</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1"/>
  <dimension ref="B1:U88"/>
  <sheetViews>
    <sheetView topLeftCell="A37" zoomScaleNormal="100" workbookViewId="0">
      <selection activeCell="D76" sqref="D76:K81"/>
    </sheetView>
  </sheetViews>
  <sheetFormatPr baseColWidth="10" defaultRowHeight="15" x14ac:dyDescent="0.25"/>
  <cols>
    <col min="1" max="1" width="2.7109375" customWidth="1"/>
    <col min="2" max="2" width="0.85546875" customWidth="1"/>
    <col min="3" max="3" width="37.7109375" bestFit="1" customWidth="1"/>
    <col min="12" max="12" width="0.85546875" customWidth="1"/>
  </cols>
  <sheetData>
    <row r="1" spans="2:12" s="1" customFormat="1" ht="31.9" customHeight="1" x14ac:dyDescent="0.25">
      <c r="B1" s="1" t="s">
        <v>9</v>
      </c>
    </row>
    <row r="2" spans="2:12" s="2" customFormat="1" ht="18" x14ac:dyDescent="0.25">
      <c r="B2" s="34">
        <f>Firmanavn</f>
        <v>0</v>
      </c>
    </row>
    <row r="3" spans="2:12" ht="31.9" customHeight="1" x14ac:dyDescent="0.25"/>
    <row r="4" spans="2:12" x14ac:dyDescent="0.25">
      <c r="B4" s="7"/>
      <c r="C4" s="7" t="s">
        <v>54</v>
      </c>
      <c r="D4" s="7">
        <f t="shared" ref="D4:I4" si="0">E4+1</f>
        <v>7</v>
      </c>
      <c r="E4" s="7">
        <f t="shared" si="0"/>
        <v>6</v>
      </c>
      <c r="F4" s="7">
        <f t="shared" si="0"/>
        <v>5</v>
      </c>
      <c r="G4" s="7">
        <f t="shared" si="0"/>
        <v>4</v>
      </c>
      <c r="H4" s="7">
        <f t="shared" si="0"/>
        <v>3</v>
      </c>
      <c r="I4" s="7">
        <f t="shared" si="0"/>
        <v>2</v>
      </c>
      <c r="J4" s="7">
        <f>K4+1</f>
        <v>1</v>
      </c>
      <c r="K4" s="7">
        <f>StartÅr</f>
        <v>0</v>
      </c>
      <c r="L4" s="7"/>
    </row>
    <row r="5" spans="2:12" s="6" customFormat="1" x14ac:dyDescent="0.25">
      <c r="C5" s="6" t="s">
        <v>79</v>
      </c>
    </row>
    <row r="6" spans="2:12" x14ac:dyDescent="0.25">
      <c r="C6" s="10" t="s">
        <v>10</v>
      </c>
      <c r="D6" s="11"/>
      <c r="E6" s="11"/>
      <c r="F6" s="11"/>
      <c r="G6" s="11"/>
      <c r="H6" s="11"/>
      <c r="I6" s="11"/>
      <c r="J6" s="11"/>
      <c r="K6" s="11"/>
    </row>
    <row r="7" spans="2:12" x14ac:dyDescent="0.25">
      <c r="C7" s="10" t="s">
        <v>11</v>
      </c>
      <c r="D7" s="11">
        <v>0</v>
      </c>
      <c r="E7" s="11">
        <v>0</v>
      </c>
      <c r="F7" s="11">
        <v>0</v>
      </c>
      <c r="G7" s="11">
        <v>0</v>
      </c>
      <c r="H7" s="11">
        <v>0</v>
      </c>
      <c r="I7" s="11">
        <v>0</v>
      </c>
      <c r="J7" s="11">
        <v>0</v>
      </c>
      <c r="K7" s="11">
        <v>0</v>
      </c>
    </row>
    <row r="8" spans="2:12" x14ac:dyDescent="0.25">
      <c r="B8" s="8"/>
      <c r="C8" s="8" t="s">
        <v>12</v>
      </c>
      <c r="D8" s="8">
        <f>SUM(D6:D7)</f>
        <v>0</v>
      </c>
      <c r="E8" s="8">
        <f t="shared" ref="E8:K8" si="1">SUM(E6:E7)</f>
        <v>0</v>
      </c>
      <c r="F8" s="8">
        <f t="shared" si="1"/>
        <v>0</v>
      </c>
      <c r="G8" s="8">
        <f t="shared" si="1"/>
        <v>0</v>
      </c>
      <c r="H8" s="8">
        <f t="shared" si="1"/>
        <v>0</v>
      </c>
      <c r="I8" s="8">
        <f t="shared" si="1"/>
        <v>0</v>
      </c>
      <c r="J8" s="8">
        <f t="shared" si="1"/>
        <v>0</v>
      </c>
      <c r="K8" s="8">
        <f t="shared" si="1"/>
        <v>0</v>
      </c>
      <c r="L8" s="8"/>
    </row>
    <row r="9" spans="2:12" x14ac:dyDescent="0.25">
      <c r="C9" s="6" t="s">
        <v>78</v>
      </c>
    </row>
    <row r="10" spans="2:12" x14ac:dyDescent="0.25">
      <c r="C10" s="10" t="s">
        <v>13</v>
      </c>
      <c r="D10" s="11">
        <f>D6*0.48</f>
        <v>0</v>
      </c>
      <c r="E10" s="11">
        <f t="shared" ref="E10:K10" si="2">E6*0.48</f>
        <v>0</v>
      </c>
      <c r="F10" s="11">
        <f t="shared" si="2"/>
        <v>0</v>
      </c>
      <c r="G10" s="11">
        <f t="shared" si="2"/>
        <v>0</v>
      </c>
      <c r="H10" s="11">
        <f t="shared" si="2"/>
        <v>0</v>
      </c>
      <c r="I10" s="11">
        <f t="shared" si="2"/>
        <v>0</v>
      </c>
      <c r="J10" s="11">
        <f t="shared" si="2"/>
        <v>0</v>
      </c>
      <c r="K10" s="11">
        <f t="shared" si="2"/>
        <v>0</v>
      </c>
    </row>
    <row r="11" spans="2:12" x14ac:dyDescent="0.25">
      <c r="C11" s="10" t="s">
        <v>14</v>
      </c>
      <c r="D11" s="11">
        <v>0</v>
      </c>
      <c r="E11" s="11">
        <v>0</v>
      </c>
      <c r="F11" s="11">
        <v>0</v>
      </c>
      <c r="G11" s="11">
        <v>0</v>
      </c>
      <c r="H11" s="11">
        <v>0</v>
      </c>
      <c r="I11" s="11">
        <v>0</v>
      </c>
      <c r="J11" s="11">
        <v>0</v>
      </c>
      <c r="K11" s="11">
        <v>0</v>
      </c>
    </row>
    <row r="12" spans="2:12" x14ac:dyDescent="0.25">
      <c r="C12" s="10" t="s">
        <v>1</v>
      </c>
      <c r="D12" s="11"/>
      <c r="E12" s="11"/>
      <c r="F12" s="11"/>
      <c r="G12" s="11"/>
      <c r="H12" s="11"/>
      <c r="I12" s="11"/>
      <c r="J12" s="11"/>
      <c r="K12" s="11"/>
    </row>
    <row r="13" spans="2:12" x14ac:dyDescent="0.25">
      <c r="C13" s="10" t="s">
        <v>15</v>
      </c>
      <c r="D13" s="11"/>
      <c r="E13" s="11"/>
      <c r="F13" s="11"/>
      <c r="G13" s="11"/>
      <c r="H13" s="11"/>
      <c r="I13" s="11"/>
      <c r="J13" s="11"/>
      <c r="K13" s="11"/>
    </row>
    <row r="14" spans="2:12" x14ac:dyDescent="0.25">
      <c r="C14" s="10" t="s">
        <v>16</v>
      </c>
      <c r="D14" s="11"/>
      <c r="E14" s="11"/>
      <c r="F14" s="11"/>
      <c r="G14" s="11"/>
      <c r="H14" s="11"/>
      <c r="I14" s="11"/>
      <c r="J14" s="11"/>
      <c r="K14" s="11"/>
    </row>
    <row r="15" spans="2:12" x14ac:dyDescent="0.25">
      <c r="C15" s="10" t="s">
        <v>17</v>
      </c>
      <c r="D15" s="11"/>
      <c r="E15" s="11"/>
      <c r="F15" s="11"/>
      <c r="G15" s="11"/>
      <c r="H15" s="11"/>
      <c r="I15" s="11"/>
      <c r="J15" s="11"/>
      <c r="K15" s="11"/>
    </row>
    <row r="16" spans="2:12" x14ac:dyDescent="0.25">
      <c r="B16" s="8"/>
      <c r="C16" s="8" t="s">
        <v>53</v>
      </c>
      <c r="D16" s="8">
        <f>SUM(D10:D15)</f>
        <v>0</v>
      </c>
      <c r="E16" s="8">
        <f t="shared" ref="E16:K16" si="3">SUM(E10:E15)</f>
        <v>0</v>
      </c>
      <c r="F16" s="8">
        <f t="shared" si="3"/>
        <v>0</v>
      </c>
      <c r="G16" s="8">
        <f t="shared" si="3"/>
        <v>0</v>
      </c>
      <c r="H16" s="8">
        <f t="shared" si="3"/>
        <v>0</v>
      </c>
      <c r="I16" s="8">
        <f t="shared" si="3"/>
        <v>0</v>
      </c>
      <c r="J16" s="8">
        <f t="shared" si="3"/>
        <v>0</v>
      </c>
      <c r="K16" s="8">
        <f t="shared" si="3"/>
        <v>0</v>
      </c>
      <c r="L16" s="8"/>
    </row>
    <row r="17" spans="2:12" x14ac:dyDescent="0.25">
      <c r="B17" s="9"/>
      <c r="C17" s="9" t="s">
        <v>18</v>
      </c>
      <c r="D17" s="9">
        <f>D8-D16</f>
        <v>0</v>
      </c>
      <c r="E17" s="9">
        <f t="shared" ref="E17:K17" si="4">E8-E16</f>
        <v>0</v>
      </c>
      <c r="F17" s="9">
        <f t="shared" si="4"/>
        <v>0</v>
      </c>
      <c r="G17" s="9">
        <f t="shared" si="4"/>
        <v>0</v>
      </c>
      <c r="H17" s="9">
        <f t="shared" si="4"/>
        <v>0</v>
      </c>
      <c r="I17" s="9">
        <f t="shared" si="4"/>
        <v>0</v>
      </c>
      <c r="J17" s="9">
        <f t="shared" si="4"/>
        <v>0</v>
      </c>
      <c r="K17" s="9">
        <f t="shared" si="4"/>
        <v>0</v>
      </c>
      <c r="L17" s="9"/>
    </row>
    <row r="19" spans="2:12" x14ac:dyDescent="0.25">
      <c r="C19" s="6" t="s">
        <v>80</v>
      </c>
    </row>
    <row r="20" spans="2:12" x14ac:dyDescent="0.25">
      <c r="C20" s="10" t="s">
        <v>55</v>
      </c>
      <c r="D20" s="11"/>
      <c r="E20" s="11"/>
      <c r="F20" s="11"/>
      <c r="G20" s="11"/>
      <c r="H20" s="11"/>
      <c r="I20" s="11"/>
      <c r="J20" s="11"/>
      <c r="K20" s="11"/>
      <c r="L20" s="11"/>
    </row>
    <row r="21" spans="2:12" x14ac:dyDescent="0.25">
      <c r="C21" s="10" t="s">
        <v>56</v>
      </c>
      <c r="D21" s="11">
        <v>0</v>
      </c>
      <c r="E21" s="11">
        <v>0</v>
      </c>
      <c r="F21" s="11">
        <v>0</v>
      </c>
      <c r="G21" s="11">
        <v>0</v>
      </c>
      <c r="H21" s="11">
        <v>0</v>
      </c>
      <c r="I21" s="11">
        <v>0</v>
      </c>
      <c r="J21" s="11">
        <v>0</v>
      </c>
      <c r="K21" s="11">
        <v>0</v>
      </c>
      <c r="L21" s="11"/>
    </row>
    <row r="22" spans="2:12" x14ac:dyDescent="0.25">
      <c r="B22" s="8"/>
      <c r="C22" s="8" t="s">
        <v>19</v>
      </c>
      <c r="D22" s="8">
        <f>SUM(D20:D21)</f>
        <v>0</v>
      </c>
      <c r="E22" s="8">
        <f t="shared" ref="E22:K22" si="5">SUM(E20:E21)</f>
        <v>0</v>
      </c>
      <c r="F22" s="8">
        <f t="shared" si="5"/>
        <v>0</v>
      </c>
      <c r="G22" s="8">
        <f t="shared" si="5"/>
        <v>0</v>
      </c>
      <c r="H22" s="8">
        <f t="shared" si="5"/>
        <v>0</v>
      </c>
      <c r="I22" s="8">
        <f t="shared" si="5"/>
        <v>0</v>
      </c>
      <c r="J22" s="8">
        <f t="shared" si="5"/>
        <v>0</v>
      </c>
      <c r="K22" s="8">
        <f t="shared" si="5"/>
        <v>0</v>
      </c>
      <c r="L22" s="8"/>
    </row>
    <row r="23" spans="2:12" x14ac:dyDescent="0.25">
      <c r="C23" s="10" t="s">
        <v>57</v>
      </c>
      <c r="D23" s="11"/>
      <c r="E23" s="11"/>
      <c r="F23" s="11"/>
      <c r="G23" s="11"/>
      <c r="H23" s="11"/>
      <c r="I23" s="11"/>
      <c r="J23" s="11"/>
      <c r="K23" s="11"/>
      <c r="L23" s="11"/>
    </row>
    <row r="24" spans="2:12" x14ac:dyDescent="0.25">
      <c r="C24" s="10" t="s">
        <v>20</v>
      </c>
      <c r="D24" s="11">
        <v>0</v>
      </c>
      <c r="E24" s="11">
        <v>0</v>
      </c>
      <c r="F24" s="11">
        <v>0</v>
      </c>
      <c r="G24" s="11">
        <v>0</v>
      </c>
      <c r="H24" s="11">
        <v>0</v>
      </c>
      <c r="I24" s="11">
        <v>0</v>
      </c>
      <c r="J24" s="11">
        <v>0</v>
      </c>
      <c r="K24" s="11">
        <v>0</v>
      </c>
      <c r="L24" s="11"/>
    </row>
    <row r="25" spans="2:12" x14ac:dyDescent="0.25">
      <c r="B25" s="8"/>
      <c r="C25" s="8" t="s">
        <v>4</v>
      </c>
      <c r="D25" s="8">
        <f>SUM(D23:D24)</f>
        <v>0</v>
      </c>
      <c r="E25" s="8">
        <f t="shared" ref="E25:K25" si="6">SUM(E23:E24)</f>
        <v>0</v>
      </c>
      <c r="F25" s="8">
        <f t="shared" si="6"/>
        <v>0</v>
      </c>
      <c r="G25" s="8">
        <f t="shared" si="6"/>
        <v>0</v>
      </c>
      <c r="H25" s="8">
        <f t="shared" si="6"/>
        <v>0</v>
      </c>
      <c r="I25" s="8">
        <f t="shared" si="6"/>
        <v>0</v>
      </c>
      <c r="J25" s="8">
        <f t="shared" si="6"/>
        <v>0</v>
      </c>
      <c r="K25" s="8">
        <f t="shared" si="6"/>
        <v>0</v>
      </c>
      <c r="L25" s="8"/>
    </row>
    <row r="26" spans="2:12" x14ac:dyDescent="0.25">
      <c r="B26" s="9"/>
      <c r="C26" s="9" t="s">
        <v>58</v>
      </c>
      <c r="D26" s="9">
        <f t="shared" ref="D26:K26" si="7">D22-D25</f>
        <v>0</v>
      </c>
      <c r="E26" s="9">
        <f t="shared" si="7"/>
        <v>0</v>
      </c>
      <c r="F26" s="9">
        <f t="shared" si="7"/>
        <v>0</v>
      </c>
      <c r="G26" s="9">
        <f t="shared" si="7"/>
        <v>0</v>
      </c>
      <c r="H26" s="9">
        <f t="shared" si="7"/>
        <v>0</v>
      </c>
      <c r="I26" s="9">
        <f t="shared" si="7"/>
        <v>0</v>
      </c>
      <c r="J26" s="9">
        <f t="shared" si="7"/>
        <v>0</v>
      </c>
      <c r="K26" s="9">
        <f t="shared" si="7"/>
        <v>0</v>
      </c>
      <c r="L26" s="9"/>
    </row>
    <row r="27" spans="2:12" x14ac:dyDescent="0.25">
      <c r="B27" s="9"/>
      <c r="C27" s="9" t="s">
        <v>3</v>
      </c>
      <c r="D27" s="9">
        <f t="shared" ref="D27:K27" si="8">D17+D26</f>
        <v>0</v>
      </c>
      <c r="E27" s="9">
        <f t="shared" si="8"/>
        <v>0</v>
      </c>
      <c r="F27" s="9">
        <f t="shared" si="8"/>
        <v>0</v>
      </c>
      <c r="G27" s="9">
        <f t="shared" si="8"/>
        <v>0</v>
      </c>
      <c r="H27" s="9">
        <f t="shared" si="8"/>
        <v>0</v>
      </c>
      <c r="I27" s="9">
        <f t="shared" si="8"/>
        <v>0</v>
      </c>
      <c r="J27" s="9">
        <f t="shared" si="8"/>
        <v>0</v>
      </c>
      <c r="K27" s="9">
        <f t="shared" si="8"/>
        <v>0</v>
      </c>
      <c r="L27" s="9"/>
    </row>
    <row r="29" spans="2:12" x14ac:dyDescent="0.25">
      <c r="C29" s="6" t="s">
        <v>81</v>
      </c>
    </row>
    <row r="30" spans="2:12" x14ac:dyDescent="0.25">
      <c r="C30" s="10" t="s">
        <v>73</v>
      </c>
      <c r="D30" s="11">
        <f>D27*22%</f>
        <v>0</v>
      </c>
      <c r="E30" s="11">
        <f>E27*23%</f>
        <v>0</v>
      </c>
      <c r="F30" s="11">
        <f>F27*24%</f>
        <v>0</v>
      </c>
      <c r="G30" s="11">
        <f>G27*25%</f>
        <v>0</v>
      </c>
      <c r="H30" s="11">
        <f>H27*25%</f>
        <v>0</v>
      </c>
      <c r="I30" s="11">
        <f>I27*26%</f>
        <v>0</v>
      </c>
      <c r="J30" s="11">
        <f>J27*27%</f>
        <v>0</v>
      </c>
      <c r="K30" s="11">
        <f>K27*28%</f>
        <v>0</v>
      </c>
      <c r="L30" s="11"/>
    </row>
    <row r="31" spans="2:12" x14ac:dyDescent="0.25">
      <c r="B31" s="8"/>
      <c r="C31" s="8" t="s">
        <v>21</v>
      </c>
      <c r="D31" s="8">
        <f>D27-D30</f>
        <v>0</v>
      </c>
      <c r="E31" s="8">
        <f t="shared" ref="E31:K31" si="9">E27-E30</f>
        <v>0</v>
      </c>
      <c r="F31" s="8">
        <f t="shared" si="9"/>
        <v>0</v>
      </c>
      <c r="G31" s="8">
        <f t="shared" si="9"/>
        <v>0</v>
      </c>
      <c r="H31" s="8">
        <f t="shared" si="9"/>
        <v>0</v>
      </c>
      <c r="I31" s="8">
        <f t="shared" si="9"/>
        <v>0</v>
      </c>
      <c r="J31" s="8">
        <f t="shared" si="9"/>
        <v>0</v>
      </c>
      <c r="K31" s="8">
        <f t="shared" si="9"/>
        <v>0</v>
      </c>
      <c r="L31" s="8"/>
    </row>
    <row r="32" spans="2:12" x14ac:dyDescent="0.25">
      <c r="B32" s="11"/>
      <c r="C32" s="10" t="s">
        <v>22</v>
      </c>
      <c r="D32" s="11">
        <v>0</v>
      </c>
      <c r="E32" s="11">
        <v>0</v>
      </c>
      <c r="F32" s="11">
        <v>0</v>
      </c>
      <c r="G32" s="11">
        <v>0</v>
      </c>
      <c r="H32" s="11">
        <v>0</v>
      </c>
      <c r="I32" s="11">
        <v>0</v>
      </c>
      <c r="J32" s="11">
        <v>0</v>
      </c>
      <c r="K32" s="11">
        <v>0</v>
      </c>
      <c r="L32" s="11"/>
    </row>
    <row r="33" spans="2:12" x14ac:dyDescent="0.25">
      <c r="B33" s="11"/>
      <c r="C33" s="10" t="s">
        <v>23</v>
      </c>
      <c r="D33" s="11">
        <v>0</v>
      </c>
      <c r="E33" s="11">
        <v>0</v>
      </c>
      <c r="F33" s="11">
        <v>0</v>
      </c>
      <c r="G33" s="11">
        <v>0</v>
      </c>
      <c r="H33" s="11">
        <v>0</v>
      </c>
      <c r="I33" s="11">
        <v>0</v>
      </c>
      <c r="J33" s="11">
        <v>0</v>
      </c>
      <c r="K33" s="11">
        <v>0</v>
      </c>
      <c r="L33" s="11"/>
    </row>
    <row r="34" spans="2:12" x14ac:dyDescent="0.25">
      <c r="B34" s="11"/>
      <c r="C34" s="10" t="s">
        <v>24</v>
      </c>
      <c r="D34" s="11">
        <v>0</v>
      </c>
      <c r="E34" s="11">
        <v>0</v>
      </c>
      <c r="F34" s="11">
        <v>0</v>
      </c>
      <c r="G34" s="11">
        <v>0</v>
      </c>
      <c r="H34" s="11">
        <v>0</v>
      </c>
      <c r="I34" s="11">
        <v>0</v>
      </c>
      <c r="J34" s="11">
        <v>0</v>
      </c>
      <c r="K34" s="11">
        <v>0</v>
      </c>
      <c r="L34" s="11"/>
    </row>
    <row r="35" spans="2:12" x14ac:dyDescent="0.25">
      <c r="B35" s="9"/>
      <c r="C35" s="9" t="s">
        <v>2</v>
      </c>
      <c r="D35" s="9">
        <f>D31+D32-D33-D34</f>
        <v>0</v>
      </c>
      <c r="E35" s="9">
        <f t="shared" ref="E35:K35" si="10">E31+E32-E33-E34</f>
        <v>0</v>
      </c>
      <c r="F35" s="9">
        <f t="shared" si="10"/>
        <v>0</v>
      </c>
      <c r="G35" s="9">
        <f t="shared" si="10"/>
        <v>0</v>
      </c>
      <c r="H35" s="9">
        <f t="shared" si="10"/>
        <v>0</v>
      </c>
      <c r="I35" s="9">
        <f t="shared" si="10"/>
        <v>0</v>
      </c>
      <c r="J35" s="9">
        <f t="shared" si="10"/>
        <v>0</v>
      </c>
      <c r="K35" s="9">
        <f t="shared" si="10"/>
        <v>0</v>
      </c>
      <c r="L35" s="9"/>
    </row>
    <row r="37" spans="2:12" x14ac:dyDescent="0.25">
      <c r="B37" s="7"/>
      <c r="C37" s="7" t="s">
        <v>71</v>
      </c>
      <c r="D37" s="7"/>
      <c r="E37" s="7"/>
      <c r="F37" s="7"/>
      <c r="G37" s="7"/>
      <c r="H37" s="7"/>
      <c r="I37" s="7"/>
      <c r="J37" s="7"/>
      <c r="K37" s="7"/>
      <c r="L37" s="7"/>
    </row>
    <row r="38" spans="2:12" s="6" customFormat="1" x14ac:dyDescent="0.25">
      <c r="C38" s="6" t="s">
        <v>66</v>
      </c>
    </row>
    <row r="39" spans="2:12" x14ac:dyDescent="0.25">
      <c r="C39" s="10" t="s">
        <v>26</v>
      </c>
      <c r="D39" s="11">
        <v>0</v>
      </c>
      <c r="E39" s="11">
        <v>0</v>
      </c>
      <c r="F39" s="11">
        <v>0</v>
      </c>
      <c r="G39" s="11">
        <v>0</v>
      </c>
      <c r="H39" s="11">
        <v>0</v>
      </c>
      <c r="I39" s="11">
        <v>0</v>
      </c>
      <c r="J39" s="11">
        <v>0</v>
      </c>
      <c r="K39" s="11">
        <v>0</v>
      </c>
    </row>
    <row r="40" spans="2:12" x14ac:dyDescent="0.25">
      <c r="C40" s="10" t="s">
        <v>76</v>
      </c>
      <c r="D40" s="11">
        <v>0</v>
      </c>
      <c r="E40" s="11">
        <v>0</v>
      </c>
      <c r="F40" s="11">
        <v>0</v>
      </c>
      <c r="G40" s="11">
        <v>0</v>
      </c>
      <c r="H40" s="11">
        <v>0</v>
      </c>
      <c r="I40" s="11">
        <v>0</v>
      </c>
      <c r="J40" s="11">
        <v>0</v>
      </c>
      <c r="K40" s="11">
        <v>0</v>
      </c>
    </row>
    <row r="41" spans="2:12" x14ac:dyDescent="0.25">
      <c r="C41" s="10" t="s">
        <v>77</v>
      </c>
      <c r="D41" s="11"/>
      <c r="E41" s="11"/>
      <c r="F41" s="11"/>
      <c r="G41" s="11"/>
      <c r="H41" s="11"/>
      <c r="I41" s="11"/>
      <c r="J41" s="11"/>
      <c r="K41" s="11"/>
    </row>
    <row r="42" spans="2:12" x14ac:dyDescent="0.25">
      <c r="C42" s="10" t="s">
        <v>27</v>
      </c>
      <c r="D42" s="11"/>
      <c r="E42" s="11"/>
      <c r="F42" s="11"/>
      <c r="G42" s="11"/>
      <c r="H42" s="11"/>
      <c r="I42" s="11"/>
      <c r="J42" s="11"/>
      <c r="K42" s="11"/>
    </row>
    <row r="43" spans="2:12" x14ac:dyDescent="0.25">
      <c r="C43" s="10" t="s">
        <v>59</v>
      </c>
      <c r="D43" s="11"/>
      <c r="E43" s="11"/>
      <c r="F43" s="11"/>
      <c r="G43" s="11"/>
      <c r="H43" s="11"/>
      <c r="I43" s="11"/>
      <c r="J43" s="11"/>
      <c r="K43" s="11"/>
    </row>
    <row r="44" spans="2:12" x14ac:dyDescent="0.25">
      <c r="C44" s="10" t="s">
        <v>60</v>
      </c>
      <c r="D44" s="11"/>
      <c r="E44" s="11"/>
      <c r="F44" s="11"/>
      <c r="G44" s="11"/>
      <c r="H44" s="11"/>
      <c r="I44" s="11"/>
      <c r="J44" s="11"/>
      <c r="K44" s="11"/>
    </row>
    <row r="45" spans="2:12" x14ac:dyDescent="0.25">
      <c r="B45" s="8"/>
      <c r="C45" s="8" t="s">
        <v>28</v>
      </c>
      <c r="D45" s="8">
        <f>SUM(D39:D44)</f>
        <v>0</v>
      </c>
      <c r="E45" s="8">
        <f t="shared" ref="E45:K45" si="11">SUM(E39:E44)</f>
        <v>0</v>
      </c>
      <c r="F45" s="8">
        <f t="shared" si="11"/>
        <v>0</v>
      </c>
      <c r="G45" s="8">
        <f t="shared" si="11"/>
        <v>0</v>
      </c>
      <c r="H45" s="8">
        <f t="shared" si="11"/>
        <v>0</v>
      </c>
      <c r="I45" s="8">
        <f t="shared" si="11"/>
        <v>0</v>
      </c>
      <c r="J45" s="8">
        <f t="shared" si="11"/>
        <v>0</v>
      </c>
      <c r="K45" s="8">
        <f t="shared" si="11"/>
        <v>0</v>
      </c>
      <c r="L45" s="8"/>
    </row>
    <row r="46" spans="2:12" x14ac:dyDescent="0.25">
      <c r="C46" s="6" t="s">
        <v>74</v>
      </c>
    </row>
    <row r="47" spans="2:12" x14ac:dyDescent="0.25">
      <c r="C47" s="10" t="s">
        <v>61</v>
      </c>
      <c r="D47" s="11"/>
      <c r="E47" s="11">
        <v>0</v>
      </c>
      <c r="F47" s="11">
        <v>0</v>
      </c>
      <c r="G47" s="11">
        <v>0</v>
      </c>
      <c r="H47" s="11">
        <v>0</v>
      </c>
      <c r="I47" s="11">
        <v>0</v>
      </c>
      <c r="J47" s="11">
        <v>0</v>
      </c>
      <c r="K47" s="11">
        <v>0</v>
      </c>
    </row>
    <row r="48" spans="2:12" x14ac:dyDescent="0.25">
      <c r="C48" s="10" t="s">
        <v>62</v>
      </c>
      <c r="D48" s="11">
        <v>0</v>
      </c>
      <c r="E48" s="11">
        <v>0</v>
      </c>
      <c r="F48" s="11">
        <v>0</v>
      </c>
      <c r="G48" s="11">
        <v>0</v>
      </c>
      <c r="H48" s="11">
        <v>0</v>
      </c>
      <c r="I48" s="11">
        <v>0</v>
      </c>
      <c r="J48" s="11">
        <v>0</v>
      </c>
      <c r="K48" s="11">
        <v>0</v>
      </c>
    </row>
    <row r="49" spans="2:12" x14ac:dyDescent="0.25">
      <c r="C49" s="10" t="s">
        <v>29</v>
      </c>
      <c r="D49" s="11"/>
      <c r="E49" s="11"/>
      <c r="F49" s="11"/>
      <c r="G49" s="11"/>
      <c r="H49" s="11"/>
      <c r="I49" s="11"/>
      <c r="J49" s="11"/>
      <c r="K49" s="11"/>
    </row>
    <row r="50" spans="2:12" x14ac:dyDescent="0.25">
      <c r="C50" s="10" t="s">
        <v>30</v>
      </c>
      <c r="D50" s="11"/>
      <c r="E50" s="11"/>
      <c r="F50" s="11"/>
      <c r="G50" s="11"/>
      <c r="H50" s="11"/>
      <c r="I50" s="11"/>
      <c r="J50" s="11"/>
      <c r="K50" s="11"/>
    </row>
    <row r="51" spans="2:12" x14ac:dyDescent="0.25">
      <c r="B51" s="8"/>
      <c r="C51" s="8" t="s">
        <v>31</v>
      </c>
      <c r="D51" s="8">
        <f>SUM(D47:D50)</f>
        <v>0</v>
      </c>
      <c r="E51" s="8">
        <f t="shared" ref="E51:K51" si="12">SUM(E47:E50)</f>
        <v>0</v>
      </c>
      <c r="F51" s="8">
        <f t="shared" si="12"/>
        <v>0</v>
      </c>
      <c r="G51" s="8">
        <f t="shared" si="12"/>
        <v>0</v>
      </c>
      <c r="H51" s="8">
        <f t="shared" si="12"/>
        <v>0</v>
      </c>
      <c r="I51" s="8">
        <f t="shared" si="12"/>
        <v>0</v>
      </c>
      <c r="J51" s="8">
        <f t="shared" si="12"/>
        <v>0</v>
      </c>
      <c r="K51" s="8">
        <f t="shared" si="12"/>
        <v>0</v>
      </c>
      <c r="L51" s="8"/>
    </row>
    <row r="52" spans="2:12" x14ac:dyDescent="0.25">
      <c r="C52" s="6" t="s">
        <v>75</v>
      </c>
    </row>
    <row r="53" spans="2:12" x14ac:dyDescent="0.25">
      <c r="C53" s="10" t="s">
        <v>64</v>
      </c>
      <c r="D53" s="11"/>
      <c r="E53" s="11"/>
      <c r="F53" s="11"/>
      <c r="G53" s="11"/>
      <c r="H53" s="11"/>
      <c r="I53" s="11"/>
      <c r="J53" s="11"/>
      <c r="K53" s="11"/>
    </row>
    <row r="54" spans="2:12" x14ac:dyDescent="0.25">
      <c r="C54" s="10" t="s">
        <v>32</v>
      </c>
      <c r="D54" s="11"/>
      <c r="E54" s="11"/>
      <c r="F54" s="11"/>
      <c r="G54" s="11"/>
      <c r="H54" s="11"/>
      <c r="I54" s="11"/>
      <c r="J54" s="11"/>
      <c r="K54" s="11"/>
    </row>
    <row r="55" spans="2:12" x14ac:dyDescent="0.25">
      <c r="C55" s="10" t="s">
        <v>33</v>
      </c>
      <c r="D55" s="11"/>
      <c r="E55" s="11"/>
      <c r="F55" s="11"/>
      <c r="G55" s="11"/>
      <c r="H55" s="11"/>
      <c r="I55" s="11"/>
      <c r="J55" s="11"/>
      <c r="K55" s="11"/>
    </row>
    <row r="56" spans="2:12" x14ac:dyDescent="0.25">
      <c r="B56" s="8"/>
      <c r="C56" s="8" t="s">
        <v>34</v>
      </c>
      <c r="D56" s="8">
        <f>SUM(D53:D55)</f>
        <v>0</v>
      </c>
      <c r="E56" s="8">
        <f t="shared" ref="E56:K56" si="13">SUM(E53:E55)</f>
        <v>0</v>
      </c>
      <c r="F56" s="8">
        <f t="shared" si="13"/>
        <v>0</v>
      </c>
      <c r="G56" s="8">
        <f t="shared" si="13"/>
        <v>0</v>
      </c>
      <c r="H56" s="8">
        <f t="shared" si="13"/>
        <v>0</v>
      </c>
      <c r="I56" s="8">
        <f t="shared" si="13"/>
        <v>0</v>
      </c>
      <c r="J56" s="8">
        <f t="shared" si="13"/>
        <v>0</v>
      </c>
      <c r="K56" s="8">
        <f t="shared" si="13"/>
        <v>0</v>
      </c>
      <c r="L56" s="8"/>
    </row>
    <row r="57" spans="2:12" x14ac:dyDescent="0.25">
      <c r="C57" s="10" t="s">
        <v>65</v>
      </c>
      <c r="D57" s="11">
        <v>0</v>
      </c>
      <c r="E57" s="11">
        <v>0</v>
      </c>
      <c r="F57" s="11">
        <v>0</v>
      </c>
      <c r="G57" s="11">
        <v>0</v>
      </c>
      <c r="H57" s="11">
        <v>0</v>
      </c>
      <c r="I57" s="11">
        <v>0</v>
      </c>
      <c r="J57" s="11">
        <v>0</v>
      </c>
      <c r="K57" s="11">
        <v>0</v>
      </c>
    </row>
    <row r="58" spans="2:12" x14ac:dyDescent="0.25">
      <c r="C58" s="10" t="s">
        <v>63</v>
      </c>
      <c r="D58" s="11"/>
      <c r="E58" s="11"/>
      <c r="F58" s="11"/>
      <c r="G58" s="11"/>
      <c r="H58" s="11"/>
      <c r="I58" s="11"/>
      <c r="J58" s="11"/>
      <c r="K58" s="11"/>
    </row>
    <row r="59" spans="2:12" x14ac:dyDescent="0.25">
      <c r="B59" s="8"/>
      <c r="C59" s="8" t="s">
        <v>35</v>
      </c>
      <c r="D59" s="8">
        <f>SUM(D56:D58)</f>
        <v>0</v>
      </c>
      <c r="E59" s="8">
        <f t="shared" ref="E59:K59" si="14">SUM(E56:E58)</f>
        <v>0</v>
      </c>
      <c r="F59" s="8">
        <f t="shared" si="14"/>
        <v>0</v>
      </c>
      <c r="G59" s="8">
        <f t="shared" si="14"/>
        <v>0</v>
      </c>
      <c r="H59" s="8">
        <f t="shared" si="14"/>
        <v>0</v>
      </c>
      <c r="I59" s="8">
        <f t="shared" si="14"/>
        <v>0</v>
      </c>
      <c r="J59" s="8">
        <f t="shared" si="14"/>
        <v>0</v>
      </c>
      <c r="K59" s="8">
        <f t="shared" si="14"/>
        <v>0</v>
      </c>
      <c r="L59" s="8"/>
    </row>
    <row r="60" spans="2:12" x14ac:dyDescent="0.25">
      <c r="B60" s="9"/>
      <c r="C60" s="9" t="s">
        <v>36</v>
      </c>
      <c r="D60" s="9">
        <f>D59+D51+D45</f>
        <v>0</v>
      </c>
      <c r="E60" s="9">
        <f t="shared" ref="E60:K60" si="15">E59+E51+E45</f>
        <v>0</v>
      </c>
      <c r="F60" s="9">
        <f t="shared" si="15"/>
        <v>0</v>
      </c>
      <c r="G60" s="9">
        <f t="shared" si="15"/>
        <v>0</v>
      </c>
      <c r="H60" s="9">
        <f t="shared" si="15"/>
        <v>0</v>
      </c>
      <c r="I60" s="9">
        <f t="shared" si="15"/>
        <v>0</v>
      </c>
      <c r="J60" s="9">
        <f t="shared" si="15"/>
        <v>0</v>
      </c>
      <c r="K60" s="9">
        <f t="shared" si="15"/>
        <v>0</v>
      </c>
      <c r="L60" s="9"/>
    </row>
    <row r="62" spans="2:12" x14ac:dyDescent="0.25">
      <c r="B62" s="6"/>
      <c r="C62" s="6" t="s">
        <v>68</v>
      </c>
      <c r="D62" s="6"/>
      <c r="E62" s="6"/>
      <c r="F62" s="6"/>
      <c r="G62" s="6"/>
      <c r="H62" s="6"/>
      <c r="I62" s="6"/>
      <c r="J62" s="6"/>
      <c r="K62" s="6"/>
    </row>
    <row r="63" spans="2:12" x14ac:dyDescent="0.25">
      <c r="C63" s="10" t="s">
        <v>37</v>
      </c>
      <c r="D63" s="11"/>
      <c r="E63" s="11"/>
      <c r="F63" s="11"/>
      <c r="G63" s="11"/>
      <c r="H63" s="11"/>
      <c r="I63" s="11"/>
      <c r="J63" s="11"/>
      <c r="K63" s="11"/>
    </row>
    <row r="64" spans="2:12" x14ac:dyDescent="0.25">
      <c r="C64" s="10" t="s">
        <v>38</v>
      </c>
      <c r="D64" s="11"/>
      <c r="E64" s="11"/>
      <c r="F64" s="11"/>
      <c r="G64" s="11"/>
      <c r="H64" s="11"/>
      <c r="I64" s="11"/>
      <c r="J64" s="11"/>
      <c r="K64" s="11"/>
    </row>
    <row r="65" spans="2:17" x14ac:dyDescent="0.25">
      <c r="B65" s="8"/>
      <c r="C65" s="8" t="s">
        <v>39</v>
      </c>
      <c r="D65" s="8">
        <f>SUM(D63:D64)</f>
        <v>0</v>
      </c>
      <c r="E65" s="8">
        <f t="shared" ref="E65:K65" si="16">SUM(E63:E64)</f>
        <v>0</v>
      </c>
      <c r="F65" s="8">
        <f t="shared" si="16"/>
        <v>0</v>
      </c>
      <c r="G65" s="8">
        <f t="shared" si="16"/>
        <v>0</v>
      </c>
      <c r="H65" s="8">
        <f t="shared" si="16"/>
        <v>0</v>
      </c>
      <c r="I65" s="8">
        <f t="shared" si="16"/>
        <v>0</v>
      </c>
      <c r="J65" s="8">
        <f t="shared" si="16"/>
        <v>0</v>
      </c>
      <c r="K65" s="8">
        <f t="shared" si="16"/>
        <v>0</v>
      </c>
      <c r="L65" s="8"/>
    </row>
    <row r="66" spans="2:17" x14ac:dyDescent="0.25">
      <c r="C66" s="10" t="s">
        <v>67</v>
      </c>
      <c r="D66" s="11"/>
      <c r="E66" s="11"/>
      <c r="F66" s="11"/>
      <c r="G66" s="11"/>
      <c r="H66" s="11"/>
      <c r="I66" s="11"/>
      <c r="J66" s="11"/>
      <c r="K66" s="11"/>
    </row>
    <row r="67" spans="2:17" x14ac:dyDescent="0.25">
      <c r="B67" s="9"/>
      <c r="C67" s="9" t="s">
        <v>40</v>
      </c>
      <c r="D67" s="9">
        <f t="shared" ref="D67:K67" si="17">D65+D66</f>
        <v>0</v>
      </c>
      <c r="E67" s="9">
        <f t="shared" si="17"/>
        <v>0</v>
      </c>
      <c r="F67" s="9">
        <f t="shared" si="17"/>
        <v>0</v>
      </c>
      <c r="G67" s="9">
        <f t="shared" si="17"/>
        <v>0</v>
      </c>
      <c r="H67" s="9">
        <f t="shared" si="17"/>
        <v>0</v>
      </c>
      <c r="I67" s="9">
        <f t="shared" si="17"/>
        <v>0</v>
      </c>
      <c r="J67" s="9">
        <f t="shared" si="17"/>
        <v>0</v>
      </c>
      <c r="K67" s="9">
        <f t="shared" si="17"/>
        <v>0</v>
      </c>
      <c r="L67" s="9"/>
      <c r="O67" s="16"/>
      <c r="P67" s="16"/>
      <c r="Q67" s="16"/>
    </row>
    <row r="69" spans="2:17" s="6" customFormat="1" x14ac:dyDescent="0.25">
      <c r="C69" s="6" t="s">
        <v>69</v>
      </c>
    </row>
    <row r="70" spans="2:17" x14ac:dyDescent="0.25">
      <c r="C70" s="10" t="s">
        <v>70</v>
      </c>
      <c r="D70" s="11">
        <v>0</v>
      </c>
      <c r="E70" s="11">
        <v>0</v>
      </c>
      <c r="F70" s="11">
        <v>0</v>
      </c>
      <c r="G70" s="11">
        <v>0</v>
      </c>
      <c r="H70" s="11">
        <v>0</v>
      </c>
      <c r="I70" s="11">
        <v>0</v>
      </c>
      <c r="J70" s="11">
        <v>0</v>
      </c>
      <c r="K70" s="11">
        <v>0</v>
      </c>
    </row>
    <row r="71" spans="2:17" x14ac:dyDescent="0.25">
      <c r="C71" s="10" t="s">
        <v>41</v>
      </c>
      <c r="D71" s="11">
        <v>0</v>
      </c>
      <c r="E71" s="11">
        <v>0</v>
      </c>
      <c r="F71" s="11">
        <v>0</v>
      </c>
      <c r="G71" s="11">
        <v>0</v>
      </c>
      <c r="H71" s="11">
        <v>0</v>
      </c>
      <c r="I71" s="11">
        <v>0</v>
      </c>
      <c r="J71" s="11">
        <v>0</v>
      </c>
      <c r="K71" s="11">
        <v>0</v>
      </c>
    </row>
    <row r="72" spans="2:17" x14ac:dyDescent="0.25">
      <c r="C72" s="10" t="s">
        <v>42</v>
      </c>
      <c r="D72" s="11">
        <v>0</v>
      </c>
      <c r="E72" s="11">
        <v>0</v>
      </c>
      <c r="F72" s="11">
        <v>0</v>
      </c>
      <c r="G72" s="11">
        <v>0</v>
      </c>
      <c r="H72" s="11">
        <v>0</v>
      </c>
      <c r="I72" s="11">
        <v>0</v>
      </c>
      <c r="J72" s="11">
        <v>0</v>
      </c>
      <c r="K72" s="11">
        <v>0</v>
      </c>
    </row>
    <row r="73" spans="2:17" x14ac:dyDescent="0.25">
      <c r="C73" s="10" t="s">
        <v>43</v>
      </c>
      <c r="D73" s="11"/>
      <c r="E73" s="11"/>
      <c r="F73" s="11"/>
      <c r="G73" s="11"/>
      <c r="H73" s="11"/>
      <c r="I73" s="11"/>
      <c r="J73" s="11"/>
      <c r="K73" s="11"/>
    </row>
    <row r="74" spans="2:17" x14ac:dyDescent="0.25">
      <c r="C74" s="10" t="s">
        <v>44</v>
      </c>
      <c r="D74" s="11"/>
      <c r="E74" s="11"/>
      <c r="F74" s="11"/>
      <c r="G74" s="11"/>
      <c r="H74" s="11"/>
      <c r="I74" s="11"/>
      <c r="J74" s="11"/>
      <c r="K74" s="11"/>
    </row>
    <row r="75" spans="2:17" x14ac:dyDescent="0.25">
      <c r="B75" s="8"/>
      <c r="C75" s="8" t="s">
        <v>45</v>
      </c>
      <c r="D75" s="8">
        <f>SUM(D70:D74)</f>
        <v>0</v>
      </c>
      <c r="E75" s="8">
        <f t="shared" ref="E75:K75" si="18">SUM(E70:E74)</f>
        <v>0</v>
      </c>
      <c r="F75" s="8">
        <f t="shared" si="18"/>
        <v>0</v>
      </c>
      <c r="G75" s="8">
        <f t="shared" si="18"/>
        <v>0</v>
      </c>
      <c r="H75" s="8">
        <f t="shared" si="18"/>
        <v>0</v>
      </c>
      <c r="I75" s="8">
        <f t="shared" si="18"/>
        <v>0</v>
      </c>
      <c r="J75" s="8">
        <f t="shared" si="18"/>
        <v>0</v>
      </c>
      <c r="K75" s="8">
        <f t="shared" si="18"/>
        <v>0</v>
      </c>
    </row>
    <row r="76" spans="2:17" x14ac:dyDescent="0.25">
      <c r="C76" s="10" t="s">
        <v>46</v>
      </c>
      <c r="D76" s="11"/>
      <c r="E76" s="11"/>
      <c r="F76" s="11"/>
      <c r="G76" s="11"/>
      <c r="H76" s="11"/>
      <c r="I76" s="11"/>
      <c r="J76" s="11"/>
      <c r="K76" s="11"/>
    </row>
    <row r="77" spans="2:17" x14ac:dyDescent="0.25">
      <c r="C77" s="10" t="s">
        <v>47</v>
      </c>
      <c r="D77" s="11"/>
      <c r="E77" s="11"/>
      <c r="F77" s="11"/>
      <c r="G77" s="11"/>
      <c r="H77" s="11"/>
      <c r="I77" s="11"/>
      <c r="J77" s="11"/>
      <c r="K77" s="11"/>
    </row>
    <row r="78" spans="2:17" x14ac:dyDescent="0.25">
      <c r="C78" s="10" t="s">
        <v>48</v>
      </c>
      <c r="D78" s="11"/>
      <c r="E78" s="11"/>
      <c r="F78" s="11"/>
      <c r="G78" s="11"/>
      <c r="H78" s="11"/>
      <c r="I78" s="11"/>
      <c r="J78" s="11"/>
      <c r="K78" s="11"/>
    </row>
    <row r="79" spans="2:17" x14ac:dyDescent="0.25">
      <c r="C79" s="10" t="s">
        <v>25</v>
      </c>
      <c r="D79" s="11"/>
      <c r="E79" s="11"/>
      <c r="F79" s="11"/>
      <c r="G79" s="11"/>
      <c r="H79" s="11"/>
      <c r="I79" s="11"/>
      <c r="J79" s="11"/>
      <c r="K79" s="11"/>
    </row>
    <row r="80" spans="2:17" x14ac:dyDescent="0.25">
      <c r="C80" s="10" t="s">
        <v>49</v>
      </c>
      <c r="D80" s="11"/>
      <c r="E80" s="11"/>
      <c r="F80" s="11"/>
      <c r="G80" s="11"/>
      <c r="H80" s="11"/>
      <c r="I80" s="11"/>
      <c r="J80" s="11"/>
      <c r="K80" s="11"/>
    </row>
    <row r="81" spans="2:21" x14ac:dyDescent="0.25">
      <c r="C81" s="10" t="s">
        <v>50</v>
      </c>
      <c r="D81" s="11"/>
      <c r="E81" s="11"/>
      <c r="F81" s="11"/>
      <c r="G81" s="11"/>
      <c r="H81" s="11"/>
      <c r="I81" s="11"/>
      <c r="J81" s="11"/>
      <c r="K81" s="11"/>
    </row>
    <row r="82" spans="2:21" x14ac:dyDescent="0.25">
      <c r="B82" s="8"/>
      <c r="C82" s="8" t="s">
        <v>51</v>
      </c>
      <c r="D82" s="8">
        <f>SUM(D76:D81)</f>
        <v>0</v>
      </c>
      <c r="E82" s="8">
        <f t="shared" ref="E82:K82" si="19">SUM(E76:E81)</f>
        <v>0</v>
      </c>
      <c r="F82" s="8">
        <f t="shared" si="19"/>
        <v>0</v>
      </c>
      <c r="G82" s="8">
        <f t="shared" si="19"/>
        <v>0</v>
      </c>
      <c r="H82" s="8">
        <f t="shared" si="19"/>
        <v>0</v>
      </c>
      <c r="I82" s="8">
        <f t="shared" si="19"/>
        <v>0</v>
      </c>
      <c r="J82" s="8">
        <f t="shared" si="19"/>
        <v>0</v>
      </c>
      <c r="K82" s="8">
        <f t="shared" si="19"/>
        <v>0</v>
      </c>
      <c r="L82" s="8"/>
    </row>
    <row r="83" spans="2:21" x14ac:dyDescent="0.25">
      <c r="B83" s="9"/>
      <c r="C83" s="9" t="s">
        <v>52</v>
      </c>
      <c r="D83" s="9">
        <f t="shared" ref="D83:K83" si="20">D75+D82</f>
        <v>0</v>
      </c>
      <c r="E83" s="9">
        <f t="shared" si="20"/>
        <v>0</v>
      </c>
      <c r="F83" s="9">
        <f t="shared" si="20"/>
        <v>0</v>
      </c>
      <c r="G83" s="9">
        <f t="shared" si="20"/>
        <v>0</v>
      </c>
      <c r="H83" s="9">
        <f t="shared" si="20"/>
        <v>0</v>
      </c>
      <c r="I83" s="9">
        <f t="shared" si="20"/>
        <v>0</v>
      </c>
      <c r="J83" s="9">
        <f t="shared" si="20"/>
        <v>0</v>
      </c>
      <c r="K83" s="9">
        <f t="shared" si="20"/>
        <v>0</v>
      </c>
      <c r="L83" s="9"/>
    </row>
    <row r="85" spans="2:21" x14ac:dyDescent="0.25">
      <c r="B85" s="9"/>
      <c r="C85" s="9" t="s">
        <v>72</v>
      </c>
      <c r="D85" s="9">
        <f t="shared" ref="D85:K85" si="21">D83+D67</f>
        <v>0</v>
      </c>
      <c r="E85" s="9">
        <f t="shared" si="21"/>
        <v>0</v>
      </c>
      <c r="F85" s="9">
        <f t="shared" si="21"/>
        <v>0</v>
      </c>
      <c r="G85" s="9">
        <f t="shared" si="21"/>
        <v>0</v>
      </c>
      <c r="H85" s="9">
        <f t="shared" si="21"/>
        <v>0</v>
      </c>
      <c r="I85" s="9">
        <f t="shared" si="21"/>
        <v>0</v>
      </c>
      <c r="J85" s="9">
        <f t="shared" si="21"/>
        <v>0</v>
      </c>
      <c r="K85" s="9">
        <f t="shared" si="21"/>
        <v>0</v>
      </c>
      <c r="L85" s="9"/>
    </row>
    <row r="88" spans="2:21" x14ac:dyDescent="0.25">
      <c r="B88" s="23"/>
      <c r="C88" s="24" t="s">
        <v>106</v>
      </c>
      <c r="D88" s="18">
        <f t="shared" ref="D88:K88" si="22">D60-D85</f>
        <v>0</v>
      </c>
      <c r="E88" s="18">
        <f t="shared" si="22"/>
        <v>0</v>
      </c>
      <c r="F88" s="18">
        <f t="shared" si="22"/>
        <v>0</v>
      </c>
      <c r="G88" s="18">
        <f t="shared" si="22"/>
        <v>0</v>
      </c>
      <c r="H88" s="18">
        <f t="shared" si="22"/>
        <v>0</v>
      </c>
      <c r="I88" s="18">
        <f t="shared" si="22"/>
        <v>0</v>
      </c>
      <c r="J88" s="18">
        <f t="shared" si="22"/>
        <v>0</v>
      </c>
      <c r="K88" s="26">
        <f t="shared" si="22"/>
        <v>0</v>
      </c>
      <c r="L88" s="25"/>
      <c r="O88" s="16"/>
      <c r="P88" s="16"/>
      <c r="Q88" s="16"/>
      <c r="R88" s="16"/>
      <c r="S88" s="16"/>
      <c r="T88" s="16"/>
      <c r="U88" s="16"/>
    </row>
  </sheetData>
  <conditionalFormatting sqref="D6:K7 D20:K21 D23:K24 D32:K34 D39:K44 D53:K55 D57:K58 D76:K81 D66:K66 D10:K15 D30:K30 D63:K64 D70:K74 D47:K50">
    <cfRule type="expression" dxfId="0" priority="1">
      <formula>Utfyllingsmodus=TRUE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Ark2"/>
  <dimension ref="B1:Q31"/>
  <sheetViews>
    <sheetView topLeftCell="A13" zoomScaleNormal="100" workbookViewId="0">
      <selection activeCell="G27" sqref="G27"/>
    </sheetView>
  </sheetViews>
  <sheetFormatPr baseColWidth="10" defaultRowHeight="15" x14ac:dyDescent="0.25"/>
  <cols>
    <col min="1" max="1" width="2.7109375" customWidth="1"/>
    <col min="2" max="2" width="0.85546875" customWidth="1"/>
    <col min="3" max="3" width="27.28515625" bestFit="1" customWidth="1"/>
    <col min="10" max="10" width="11.5703125" customWidth="1"/>
    <col min="11" max="11" width="0.85546875" customWidth="1"/>
    <col min="13" max="13" width="51.7109375" bestFit="1" customWidth="1"/>
  </cols>
  <sheetData>
    <row r="1" spans="2:17" s="1" customFormat="1" ht="31.9" customHeight="1" x14ac:dyDescent="0.25">
      <c r="B1" s="1" t="s">
        <v>109</v>
      </c>
    </row>
    <row r="2" spans="2:17" s="2" customFormat="1" ht="18" x14ac:dyDescent="0.25">
      <c r="B2" s="34">
        <f>Firmanavn</f>
        <v>0</v>
      </c>
    </row>
    <row r="3" spans="2:17" ht="31.9" customHeight="1" x14ac:dyDescent="0.25"/>
    <row r="4" spans="2:17" x14ac:dyDescent="0.25">
      <c r="B4" s="7"/>
      <c r="C4" s="7" t="s">
        <v>107</v>
      </c>
      <c r="D4" s="7">
        <f t="shared" ref="D4:H4" si="0">E4+1</f>
        <v>7</v>
      </c>
      <c r="E4" s="7">
        <f t="shared" si="0"/>
        <v>6</v>
      </c>
      <c r="F4" s="7">
        <f t="shared" si="0"/>
        <v>5</v>
      </c>
      <c r="G4" s="7">
        <f t="shared" si="0"/>
        <v>4</v>
      </c>
      <c r="H4" s="7">
        <f t="shared" si="0"/>
        <v>3</v>
      </c>
      <c r="I4" s="7">
        <f>J4+1</f>
        <v>2</v>
      </c>
      <c r="J4" s="7">
        <f>StartÅr+1</f>
        <v>1</v>
      </c>
      <c r="K4" s="7"/>
    </row>
    <row r="5" spans="2:17" x14ac:dyDescent="0.25">
      <c r="C5" s="10" t="s">
        <v>82</v>
      </c>
      <c r="D5" s="15">
        <f>IFERROR(Regnskap!D17/Regnskap!D8,0)</f>
        <v>0</v>
      </c>
      <c r="E5" s="15">
        <f>IFERROR(Regnskap!E17/Regnskap!E8,0)</f>
        <v>0</v>
      </c>
      <c r="F5" s="15">
        <f>IFERROR(Regnskap!F17/Regnskap!F8,0)</f>
        <v>0</v>
      </c>
      <c r="G5" s="15">
        <f>IFERROR(Regnskap!G17/Regnskap!G8,0)</f>
        <v>0</v>
      </c>
      <c r="H5" s="15">
        <f>IFERROR(Regnskap!H17/Regnskap!H8,0)</f>
        <v>0</v>
      </c>
      <c r="I5" s="15">
        <f>IFERROR(Regnskap!I17/Regnskap!I8,0)</f>
        <v>0</v>
      </c>
      <c r="J5" s="15">
        <f>IFERROR(Regnskap!J17/Regnskap!J8,0)</f>
        <v>0</v>
      </c>
    </row>
    <row r="6" spans="2:17" x14ac:dyDescent="0.25">
      <c r="C6" s="10" t="s">
        <v>83</v>
      </c>
      <c r="D6" s="13">
        <f>IFERROR(Regnskap!D8/((Regnskap!D60+Regnskap!E60)/2),0)</f>
        <v>0</v>
      </c>
      <c r="E6" s="13">
        <f>IFERROR(Regnskap!E8/((Regnskap!E60+Regnskap!F60)/2),0)</f>
        <v>0</v>
      </c>
      <c r="F6" s="13">
        <f>IFERROR(Regnskap!F8/((Regnskap!F60+Regnskap!G60)/2),0)</f>
        <v>0</v>
      </c>
      <c r="G6" s="13">
        <f>IFERROR(Regnskap!G8/((Regnskap!G60+Regnskap!H60)/2),0)</f>
        <v>0</v>
      </c>
      <c r="H6" s="13">
        <f>IFERROR(Regnskap!H8/((Regnskap!H60+Regnskap!I60)/2),0)</f>
        <v>0</v>
      </c>
      <c r="I6" s="13">
        <f>IFERROR(Regnskap!I8/((Regnskap!I60+Regnskap!J60)/2),0)</f>
        <v>0</v>
      </c>
      <c r="J6" s="13">
        <f>IFERROR(Regnskap!J8/((Regnskap!J60+Regnskap!K60)/2),0)</f>
        <v>0</v>
      </c>
    </row>
    <row r="7" spans="2:17" x14ac:dyDescent="0.25">
      <c r="C7" s="20" t="s">
        <v>97</v>
      </c>
      <c r="D7" s="21">
        <f>IFERROR((Regnskap!D6*(1+Merverdiavgift))/((Regnskap!D54+Regnskap!E54)/2),0)</f>
        <v>0</v>
      </c>
      <c r="E7" s="21">
        <f>IFERROR((Regnskap!E6*(1+Merverdiavgift))/((Regnskap!E54+Regnskap!F54)/2),0)</f>
        <v>0</v>
      </c>
      <c r="F7" s="21">
        <f>IFERROR((Regnskap!F6*(1+Merverdiavgift))/((Regnskap!F54+Regnskap!G54)/2),0)</f>
        <v>0</v>
      </c>
      <c r="G7" s="21">
        <f>IFERROR((Regnskap!G6*(1+Merverdiavgift))/((Regnskap!G54+Regnskap!H54)/2),0)</f>
        <v>0</v>
      </c>
      <c r="H7" s="21">
        <f>IFERROR((Regnskap!H6*(1+Merverdiavgift))/((Regnskap!H54+Regnskap!I54)/2),0)</f>
        <v>0</v>
      </c>
      <c r="I7" s="21">
        <f>IFERROR((Regnskap!I6*(1+Merverdiavgift))/((Regnskap!I54+Regnskap!J54)/2),0)</f>
        <v>0</v>
      </c>
      <c r="J7" s="21">
        <f>IFERROR((Regnskap!J6*(1+Merverdiavgift))/((Regnskap!J54+Regnskap!K54)/2),0)</f>
        <v>0</v>
      </c>
      <c r="K7" s="19"/>
      <c r="L7" s="19"/>
      <c r="M7" s="22"/>
    </row>
    <row r="8" spans="2:17" x14ac:dyDescent="0.25">
      <c r="C8" s="10" t="s">
        <v>99</v>
      </c>
      <c r="D8" s="14">
        <f t="shared" ref="D8:J8" si="1">IFERROR(365/D7,0)</f>
        <v>0</v>
      </c>
      <c r="E8" s="14">
        <f t="shared" si="1"/>
        <v>0</v>
      </c>
      <c r="F8" s="14">
        <f t="shared" si="1"/>
        <v>0</v>
      </c>
      <c r="G8" s="14">
        <f t="shared" si="1"/>
        <v>0</v>
      </c>
      <c r="H8" s="14">
        <f t="shared" si="1"/>
        <v>0</v>
      </c>
      <c r="I8" s="14">
        <f t="shared" si="1"/>
        <v>0</v>
      </c>
      <c r="J8" s="14">
        <f t="shared" si="1"/>
        <v>0</v>
      </c>
      <c r="P8" s="16"/>
      <c r="Q8" s="16"/>
    </row>
    <row r="9" spans="2:17" x14ac:dyDescent="0.25">
      <c r="C9" s="20" t="s">
        <v>100</v>
      </c>
      <c r="D9" s="21">
        <f>IFERROR(Regnskap!D10+Regnskap!D53-Regnskap!E53,0)</f>
        <v>0</v>
      </c>
      <c r="E9" s="21">
        <f>IFERROR(Regnskap!E10+Regnskap!E53-Regnskap!F53,0)</f>
        <v>0</v>
      </c>
      <c r="F9" s="21">
        <f>IFERROR(Regnskap!F10+Regnskap!F53-Regnskap!G53,0)</f>
        <v>0</v>
      </c>
      <c r="G9" s="21">
        <f>IFERROR(Regnskap!G10+Regnskap!G53-Regnskap!H53,0)</f>
        <v>0</v>
      </c>
      <c r="H9" s="21">
        <f>IFERROR(Regnskap!H10+Regnskap!H53-Regnskap!I53,0)</f>
        <v>0</v>
      </c>
      <c r="I9" s="21">
        <f>IFERROR(Regnskap!I10+Regnskap!I53-Regnskap!J53,0)</f>
        <v>0</v>
      </c>
      <c r="J9" s="21">
        <f>IFERROR(Regnskap!J10+Regnskap!J53-Regnskap!K53,0)</f>
        <v>0</v>
      </c>
      <c r="M9" s="16"/>
    </row>
    <row r="10" spans="2:17" x14ac:dyDescent="0.25">
      <c r="C10" s="20" t="s">
        <v>101</v>
      </c>
      <c r="D10" s="21">
        <f>IFERROR(D9/((Regnskap!D77+Regnskap!E77)/2),0)</f>
        <v>0</v>
      </c>
      <c r="E10" s="21">
        <f>IFERROR(E9/((Regnskap!E77+Regnskap!F77)/2),0)</f>
        <v>0</v>
      </c>
      <c r="F10" s="21">
        <f>IFERROR(F9/((Regnskap!F77+Regnskap!G77)/2),0)</f>
        <v>0</v>
      </c>
      <c r="G10" s="21">
        <f>IFERROR(G9/((Regnskap!G77+Regnskap!H77)/2),0)</f>
        <v>0</v>
      </c>
      <c r="H10" s="21">
        <f>IFERROR(H9/((Regnskap!H77+Regnskap!I77)/2),0)</f>
        <v>0</v>
      </c>
      <c r="I10" s="21">
        <f>IFERROR(I9/((Regnskap!I77+Regnskap!J77)/2),0)</f>
        <v>0</v>
      </c>
      <c r="J10" s="21">
        <f>IFERROR(J9/((Regnskap!J77+Regnskap!K77)/2),0)</f>
        <v>0</v>
      </c>
      <c r="M10" s="16"/>
    </row>
    <row r="11" spans="2:17" x14ac:dyDescent="0.25">
      <c r="C11" s="10" t="s">
        <v>102</v>
      </c>
      <c r="D11" s="14">
        <f t="shared" ref="D11:J11" si="2">IFERROR(365/D10,0)</f>
        <v>0</v>
      </c>
      <c r="E11" s="14">
        <f t="shared" si="2"/>
        <v>0</v>
      </c>
      <c r="F11" s="14">
        <f t="shared" si="2"/>
        <v>0</v>
      </c>
      <c r="G11" s="14">
        <f t="shared" si="2"/>
        <v>0</v>
      </c>
      <c r="H11" s="14">
        <f t="shared" si="2"/>
        <v>0</v>
      </c>
      <c r="I11" s="14">
        <f t="shared" si="2"/>
        <v>0</v>
      </c>
      <c r="J11" s="14">
        <f t="shared" si="2"/>
        <v>0</v>
      </c>
    </row>
    <row r="12" spans="2:17" x14ac:dyDescent="0.25">
      <c r="C12" s="10" t="s">
        <v>103</v>
      </c>
      <c r="D12" s="14">
        <f>IFERROR(Regnskap!D10/((Regnskap!D53+Regnskap!E53)/2),0)</f>
        <v>0</v>
      </c>
      <c r="E12" s="14">
        <f>IFERROR(Regnskap!E10/((Regnskap!E53+Regnskap!F53)/2),0)</f>
        <v>0</v>
      </c>
      <c r="F12" s="14">
        <f>IFERROR(Regnskap!F10/((Regnskap!F53+Regnskap!G53)/2),0)</f>
        <v>0</v>
      </c>
      <c r="G12" s="14">
        <f>IFERROR(Regnskap!G10/((Regnskap!G53+Regnskap!H53)/2),0)</f>
        <v>0</v>
      </c>
      <c r="H12" s="14">
        <f>IFERROR(Regnskap!H10/((Regnskap!H53+Regnskap!I53)/2),0)</f>
        <v>0</v>
      </c>
      <c r="I12" s="14">
        <f>IFERROR(Regnskap!I10/((Regnskap!I53+Regnskap!J53)/2),0)</f>
        <v>0</v>
      </c>
      <c r="J12" s="14">
        <f>IFERROR(Regnskap!J10/((Regnskap!J53+Regnskap!K53)/2),0)</f>
        <v>0</v>
      </c>
    </row>
    <row r="13" spans="2:17" x14ac:dyDescent="0.25">
      <c r="C13" s="10" t="s">
        <v>104</v>
      </c>
      <c r="D13" s="14">
        <f t="shared" ref="D13:J13" si="3">IFERROR(365/D12,0)</f>
        <v>0</v>
      </c>
      <c r="E13" s="14">
        <f t="shared" si="3"/>
        <v>0</v>
      </c>
      <c r="F13" s="14">
        <f t="shared" si="3"/>
        <v>0</v>
      </c>
      <c r="G13" s="14">
        <f t="shared" si="3"/>
        <v>0</v>
      </c>
      <c r="H13" s="14">
        <f t="shared" si="3"/>
        <v>0</v>
      </c>
      <c r="I13" s="14">
        <f t="shared" si="3"/>
        <v>0</v>
      </c>
      <c r="J13" s="14">
        <f t="shared" si="3"/>
        <v>0</v>
      </c>
    </row>
    <row r="14" spans="2:17" x14ac:dyDescent="0.25">
      <c r="C14" s="10" t="s">
        <v>84</v>
      </c>
      <c r="D14" s="14">
        <f>IFERROR((Regnskap!D27+Regnskap!D25)/Regnskap!D8,0)</f>
        <v>0</v>
      </c>
      <c r="E14" s="14">
        <f>IFERROR((Regnskap!E27+Regnskap!E25)/Regnskap!E8,0)</f>
        <v>0</v>
      </c>
      <c r="F14" s="14">
        <f>IFERROR((Regnskap!F27+Regnskap!F25)/Regnskap!F8,0)</f>
        <v>0</v>
      </c>
      <c r="G14" s="14">
        <f>IFERROR((Regnskap!G27+Regnskap!G25)/Regnskap!G8,0)</f>
        <v>0</v>
      </c>
      <c r="H14" s="14">
        <f>IFERROR((Regnskap!H27+Regnskap!H25)/Regnskap!H8,0)</f>
        <v>0</v>
      </c>
      <c r="I14" s="14">
        <f>IFERROR((Regnskap!I27+Regnskap!I25)/Regnskap!I8,0)</f>
        <v>0</v>
      </c>
      <c r="J14" s="14">
        <f>IFERROR((Regnskap!J27+Regnskap!J25)/Regnskap!J8,0)</f>
        <v>0</v>
      </c>
    </row>
    <row r="15" spans="2:17" x14ac:dyDescent="0.25">
      <c r="C15" s="10" t="s">
        <v>85</v>
      </c>
      <c r="D15" s="15">
        <f>IFERROR(D14*D6,0)</f>
        <v>0</v>
      </c>
      <c r="E15" s="15">
        <f t="shared" ref="E15:J15" si="4">IFERROR(E14*E6,0)</f>
        <v>0</v>
      </c>
      <c r="F15" s="15">
        <f t="shared" si="4"/>
        <v>0</v>
      </c>
      <c r="G15" s="15">
        <f t="shared" si="4"/>
        <v>0</v>
      </c>
      <c r="H15" s="15">
        <f t="shared" si="4"/>
        <v>0</v>
      </c>
      <c r="I15" s="15">
        <f t="shared" si="4"/>
        <v>0</v>
      </c>
      <c r="J15" s="15">
        <f t="shared" si="4"/>
        <v>0</v>
      </c>
    </row>
    <row r="16" spans="2:17" x14ac:dyDescent="0.25">
      <c r="C16" s="10" t="s">
        <v>86</v>
      </c>
      <c r="D16" s="15">
        <f>IFERROR(Regnskap!D23/((Regnskap!D83+Regnskap!E83)/2),0)</f>
        <v>0</v>
      </c>
      <c r="E16" s="15">
        <f>IFERROR(Regnskap!E23/((Regnskap!E83+Regnskap!F83)/2),0)</f>
        <v>0</v>
      </c>
      <c r="F16" s="15">
        <f>IFERROR(Regnskap!F23/((Regnskap!F83+Regnskap!G83)/2),0)</f>
        <v>0</v>
      </c>
      <c r="G16" s="15">
        <f>IFERROR(Regnskap!G23/((Regnskap!G83+Regnskap!H83)/2),0)</f>
        <v>0</v>
      </c>
      <c r="H16" s="15">
        <f>IFERROR(Regnskap!H23/((Regnskap!H83+Regnskap!I83)/2),0)</f>
        <v>0</v>
      </c>
      <c r="I16" s="15">
        <f>IFERROR(Regnskap!I23/((Regnskap!I83+Regnskap!J83)/2),0)</f>
        <v>0</v>
      </c>
      <c r="J16" s="15">
        <f>IFERROR(Regnskap!J23/((Regnskap!J83+Regnskap!K83)/2),0)</f>
        <v>0</v>
      </c>
    </row>
    <row r="17" spans="2:15" x14ac:dyDescent="0.25">
      <c r="C17" s="10" t="s">
        <v>87</v>
      </c>
      <c r="D17" s="15">
        <f>IFERROR(Regnskap!D27/((Regnskap!D67+Regnskap!E67)/2),0)</f>
        <v>0</v>
      </c>
      <c r="E17" s="15">
        <f>IFERROR(Regnskap!E27/((Regnskap!E67+Regnskap!F67)/2),0)</f>
        <v>0</v>
      </c>
      <c r="F17" s="15">
        <f>IFERROR(Regnskap!F27/((Regnskap!F67+Regnskap!G67)/2),0)</f>
        <v>0</v>
      </c>
      <c r="G17" s="15">
        <f>IFERROR(Regnskap!G27/((Regnskap!G67+Regnskap!H67)/2),0)</f>
        <v>0</v>
      </c>
      <c r="H17" s="15">
        <f>IFERROR(Regnskap!H27/((Regnskap!H67+Regnskap!I67)/2),0)</f>
        <v>0</v>
      </c>
      <c r="I17" s="15">
        <f>IFERROR(Regnskap!I27/((Regnskap!I67+Regnskap!J67)/2),0)</f>
        <v>0</v>
      </c>
      <c r="J17" s="15">
        <f>IFERROR(Regnskap!J27/((Regnskap!J67+Regnskap!K67)/2),0)</f>
        <v>0</v>
      </c>
    </row>
    <row r="18" spans="2:15" x14ac:dyDescent="0.25">
      <c r="C18" s="10" t="s">
        <v>88</v>
      </c>
      <c r="D18" s="15">
        <f t="shared" ref="D18:J18" si="5">IFERROR(D15+(D15-D16)*D29,0)</f>
        <v>0</v>
      </c>
      <c r="E18" s="15">
        <f t="shared" si="5"/>
        <v>0</v>
      </c>
      <c r="F18" s="15">
        <f t="shared" si="5"/>
        <v>0</v>
      </c>
      <c r="G18" s="15">
        <f t="shared" si="5"/>
        <v>0</v>
      </c>
      <c r="H18" s="15">
        <f t="shared" si="5"/>
        <v>0</v>
      </c>
      <c r="I18" s="15">
        <f t="shared" si="5"/>
        <v>0</v>
      </c>
      <c r="J18" s="15">
        <f t="shared" si="5"/>
        <v>0</v>
      </c>
    </row>
    <row r="19" spans="2:15" x14ac:dyDescent="0.25">
      <c r="C19" s="10"/>
    </row>
    <row r="20" spans="2:15" x14ac:dyDescent="0.25">
      <c r="B20" s="7"/>
      <c r="C20" s="7" t="s">
        <v>105</v>
      </c>
      <c r="D20" s="7">
        <f>D4</f>
        <v>7</v>
      </c>
      <c r="E20" s="7">
        <f t="shared" ref="E20:J20" si="6">E4</f>
        <v>6</v>
      </c>
      <c r="F20" s="7">
        <f t="shared" si="6"/>
        <v>5</v>
      </c>
      <c r="G20" s="7">
        <f t="shared" si="6"/>
        <v>4</v>
      </c>
      <c r="H20" s="7">
        <f t="shared" si="6"/>
        <v>3</v>
      </c>
      <c r="I20" s="7">
        <f t="shared" si="6"/>
        <v>2</v>
      </c>
      <c r="J20" s="7">
        <f t="shared" si="6"/>
        <v>1</v>
      </c>
      <c r="K20" s="7"/>
    </row>
    <row r="21" spans="2:15" x14ac:dyDescent="0.25">
      <c r="C21" s="10" t="s">
        <v>89</v>
      </c>
      <c r="D21" s="14">
        <f>IFERROR(Regnskap!D59/Regnskap!D82,0)</f>
        <v>0</v>
      </c>
      <c r="E21" s="14">
        <f>IFERROR(Regnskap!E59/Regnskap!E82,0)</f>
        <v>0</v>
      </c>
      <c r="F21" s="14">
        <f>IFERROR(Regnskap!F59/Regnskap!F82,0)</f>
        <v>0</v>
      </c>
      <c r="G21" s="14">
        <f>IFERROR(Regnskap!G59/Regnskap!G82,0)</f>
        <v>0</v>
      </c>
      <c r="H21" s="14">
        <f>IFERROR(Regnskap!H59/Regnskap!H82,0)</f>
        <v>0</v>
      </c>
      <c r="I21" s="14">
        <f>IFERROR(Regnskap!I59/Regnskap!I82,0)</f>
        <v>0</v>
      </c>
      <c r="J21" s="14">
        <f>IFERROR(Regnskap!J59/Regnskap!J82,0)</f>
        <v>0</v>
      </c>
      <c r="K21" s="14" t="e">
        <f>Regnskap!K59/Regnskap!K82</f>
        <v>#DIV/0!</v>
      </c>
    </row>
    <row r="22" spans="2:15" x14ac:dyDescent="0.25">
      <c r="C22" s="10" t="s">
        <v>90</v>
      </c>
      <c r="D22" s="14">
        <f>IFERROR((Regnskap!D59-Regnskap!D53)/Regnskap!D82,0)</f>
        <v>0</v>
      </c>
      <c r="E22" s="14">
        <f>IFERROR((Regnskap!E59-Regnskap!E53)/Regnskap!E82,0)</f>
        <v>0</v>
      </c>
      <c r="F22" s="14">
        <f>IFERROR((Regnskap!F59-Regnskap!F53)/Regnskap!F82,0)</f>
        <v>0</v>
      </c>
      <c r="G22" s="14">
        <f>IFERROR((Regnskap!G59-Regnskap!G53)/Regnskap!G82,0)</f>
        <v>0</v>
      </c>
      <c r="H22" s="14">
        <f>IFERROR((Regnskap!H59-Regnskap!H53)/Regnskap!H82,0)</f>
        <v>0</v>
      </c>
      <c r="I22" s="14">
        <f>IFERROR((Regnskap!I59-Regnskap!I53)/Regnskap!I82,0)</f>
        <v>0</v>
      </c>
      <c r="J22" s="14">
        <f>IFERROR((Regnskap!J59-Regnskap!J53)/Regnskap!J82,0)</f>
        <v>0</v>
      </c>
      <c r="K22" s="14" t="e">
        <f>(Regnskap!K59-Regnskap!K53)/Regnskap!K82</f>
        <v>#DIV/0!</v>
      </c>
    </row>
    <row r="23" spans="2:15" x14ac:dyDescent="0.25">
      <c r="C23" s="10" t="s">
        <v>96</v>
      </c>
      <c r="D23" s="10">
        <f>Regnskap!D59-Regnskap!D82</f>
        <v>0</v>
      </c>
      <c r="E23" s="10">
        <f>Regnskap!E59-Regnskap!E82</f>
        <v>0</v>
      </c>
      <c r="F23" s="10">
        <f>Regnskap!F59-Regnskap!F82</f>
        <v>0</v>
      </c>
      <c r="G23" s="10">
        <f>Regnskap!G59-Regnskap!G82</f>
        <v>0</v>
      </c>
      <c r="H23" s="10">
        <f>Regnskap!H59-Regnskap!H82</f>
        <v>0</v>
      </c>
      <c r="I23" s="10">
        <f>Regnskap!I59-Regnskap!I82</f>
        <v>0</v>
      </c>
      <c r="J23" s="10">
        <f>Regnskap!J59-Regnskap!J82</f>
        <v>0</v>
      </c>
      <c r="K23" s="10">
        <f>Regnskap!K59-Regnskap!K82</f>
        <v>0</v>
      </c>
    </row>
    <row r="24" spans="2:15" x14ac:dyDescent="0.25">
      <c r="C24" s="10" t="s">
        <v>91</v>
      </c>
      <c r="D24" s="14">
        <f>IFERROR(D23/Regnskap!D8,0)</f>
        <v>0</v>
      </c>
      <c r="E24" s="14">
        <f>IFERROR(E23/Regnskap!E8,0)</f>
        <v>0</v>
      </c>
      <c r="F24" s="14">
        <f>IFERROR(F23/Regnskap!F8,0)</f>
        <v>0</v>
      </c>
      <c r="G24" s="14">
        <f>IFERROR(G23/Regnskap!G8,0)</f>
        <v>0</v>
      </c>
      <c r="H24" s="14">
        <f>IFERROR(H23/Regnskap!H8,0)</f>
        <v>0</v>
      </c>
      <c r="I24" s="14">
        <f>IFERROR(I23/Regnskap!I8,0)</f>
        <v>0</v>
      </c>
      <c r="J24" s="14">
        <f>IFERROR(J23/Regnskap!J8,0)</f>
        <v>0</v>
      </c>
      <c r="K24" s="14" t="e">
        <f>K23/Regnskap!K8</f>
        <v>#DIV/0!</v>
      </c>
    </row>
    <row r="25" spans="2:15" x14ac:dyDescent="0.25">
      <c r="C25" s="10" t="s">
        <v>0</v>
      </c>
      <c r="D25" s="10">
        <f>Regnskap!D17+Regnskap!D14+Regnskap!D13</f>
        <v>0</v>
      </c>
      <c r="E25" s="10">
        <f>Regnskap!E17+Regnskap!E14+Regnskap!E13</f>
        <v>0</v>
      </c>
      <c r="F25" s="10">
        <f>Regnskap!F17+Regnskap!F14+Regnskap!F13</f>
        <v>0</v>
      </c>
      <c r="G25" s="10">
        <f>Regnskap!G17+Regnskap!G14+Regnskap!G13</f>
        <v>0</v>
      </c>
      <c r="H25" s="10">
        <f>Regnskap!H17+Regnskap!H14+Regnskap!H13</f>
        <v>0</v>
      </c>
      <c r="I25" s="10">
        <f>Regnskap!I17+Regnskap!I14+Regnskap!I13</f>
        <v>0</v>
      </c>
      <c r="J25" s="10">
        <f>Regnskap!J17+Regnskap!J14+Regnskap!J13</f>
        <v>0</v>
      </c>
      <c r="K25" s="10">
        <f>Regnskap!K17+Regnskap!K14+Regnskap!K13</f>
        <v>0</v>
      </c>
    </row>
    <row r="26" spans="2:15" x14ac:dyDescent="0.25">
      <c r="C26" s="10" t="s">
        <v>92</v>
      </c>
      <c r="D26" s="14">
        <f>IFERROR(D25/Regnskap!D8,0)</f>
        <v>0</v>
      </c>
      <c r="E26" s="14">
        <f>IFERROR(E25/Regnskap!E8,0)</f>
        <v>0</v>
      </c>
      <c r="F26" s="14">
        <f>IFERROR(F25/Regnskap!F8,0)</f>
        <v>0</v>
      </c>
      <c r="G26" s="14">
        <f>IFERROR(G25/Regnskap!G8,0)</f>
        <v>0</v>
      </c>
      <c r="H26" s="14">
        <f>IFERROR(H25/Regnskap!H8,0)</f>
        <v>0</v>
      </c>
      <c r="I26" s="14">
        <f>IFERROR(I25/Regnskap!I8,0)</f>
        <v>0</v>
      </c>
      <c r="J26" s="14">
        <f>IFERROR(J25/Regnskap!J8,0)</f>
        <v>0</v>
      </c>
      <c r="K26" s="14" t="e">
        <f>K25/Regnskap!K8</f>
        <v>#DIV/0!</v>
      </c>
    </row>
    <row r="27" spans="2:15" x14ac:dyDescent="0.25">
      <c r="C27" s="10"/>
    </row>
    <row r="28" spans="2:15" x14ac:dyDescent="0.25">
      <c r="B28" s="7"/>
      <c r="C28" s="7" t="s">
        <v>108</v>
      </c>
      <c r="D28" s="7">
        <f>D4</f>
        <v>7</v>
      </c>
      <c r="E28" s="7">
        <f t="shared" ref="E28:J28" si="7">E4</f>
        <v>6</v>
      </c>
      <c r="F28" s="7">
        <f t="shared" si="7"/>
        <v>5</v>
      </c>
      <c r="G28" s="7">
        <f t="shared" si="7"/>
        <v>4</v>
      </c>
      <c r="H28" s="7">
        <f t="shared" si="7"/>
        <v>3</v>
      </c>
      <c r="I28" s="7">
        <f t="shared" si="7"/>
        <v>2</v>
      </c>
      <c r="J28" s="7">
        <f t="shared" si="7"/>
        <v>1</v>
      </c>
      <c r="K28" s="7"/>
      <c r="O28" s="16"/>
    </row>
    <row r="29" spans="2:15" x14ac:dyDescent="0.25">
      <c r="C29" s="10" t="s">
        <v>93</v>
      </c>
      <c r="D29" s="14">
        <f>IFERROR(((Regnskap!D83+Regnskap!E83)/2)/((Regnskap!D67+Regnskap!E67)/2),0)</f>
        <v>0</v>
      </c>
      <c r="E29" s="14">
        <f>IFERROR(((Regnskap!E83+Regnskap!F83)/2)/((Regnskap!E67+Regnskap!F67)/2),0)</f>
        <v>0</v>
      </c>
      <c r="F29" s="14">
        <f>IFERROR(((Regnskap!F83+Regnskap!G83)/2)/((Regnskap!F67+Regnskap!G67)/2),0)</f>
        <v>0</v>
      </c>
      <c r="G29" s="14">
        <f>IFERROR(((Regnskap!G83+Regnskap!H83)/2)/((Regnskap!G67+Regnskap!H67)/2),0)</f>
        <v>0</v>
      </c>
      <c r="H29" s="14">
        <f>IFERROR(((Regnskap!H83+Regnskap!I83)/2)/((Regnskap!H67+Regnskap!I67)/2),0)</f>
        <v>0</v>
      </c>
      <c r="I29" s="14">
        <f>IFERROR(((Regnskap!I83+Regnskap!J83)/2)/((Regnskap!I67+Regnskap!J67)/2),0)</f>
        <v>0</v>
      </c>
      <c r="J29" s="14">
        <f>IFERROR(((Regnskap!J83+Regnskap!K83)/2)/((Regnskap!J67+Regnskap!K67)/2),0)</f>
        <v>0</v>
      </c>
    </row>
    <row r="30" spans="2:15" x14ac:dyDescent="0.25">
      <c r="C30" s="10" t="s">
        <v>94</v>
      </c>
      <c r="D30" s="14">
        <f>IFERROR(Regnskap!D67/Regnskap!D85,0)</f>
        <v>0</v>
      </c>
      <c r="E30" s="14">
        <f>IFERROR(Regnskap!E67/Regnskap!E85,0)</f>
        <v>0</v>
      </c>
      <c r="F30" s="14">
        <f>IFERROR(Regnskap!F67/Regnskap!F85,0)</f>
        <v>0</v>
      </c>
      <c r="G30" s="14">
        <f>IFERROR(Regnskap!G67/Regnskap!G85,0)</f>
        <v>0</v>
      </c>
      <c r="H30" s="14">
        <f>IFERROR(Regnskap!H67/Regnskap!H85,0)</f>
        <v>0</v>
      </c>
      <c r="I30" s="14">
        <f>IFERROR(Regnskap!I67/Regnskap!I85,0)</f>
        <v>0</v>
      </c>
      <c r="J30" s="14">
        <f>IFERROR(Regnskap!J67/Regnskap!J85,0)</f>
        <v>0</v>
      </c>
    </row>
    <row r="31" spans="2:15" x14ac:dyDescent="0.25">
      <c r="C31" s="10" t="s">
        <v>95</v>
      </c>
      <c r="D31" s="14">
        <f>IFERROR(Regnskap!D51/(Regnskap!D67+Regnskap!D75),0)</f>
        <v>0</v>
      </c>
      <c r="E31" s="14">
        <f>IFERROR(Regnskap!E51/(Regnskap!E67+Regnskap!E75),0)</f>
        <v>0</v>
      </c>
      <c r="F31" s="14">
        <f>IFERROR(Regnskap!F51/(Regnskap!F67+Regnskap!F75),0)</f>
        <v>0</v>
      </c>
      <c r="G31" s="14">
        <f>IFERROR(Regnskap!G51/(Regnskap!G67+Regnskap!G75),0)</f>
        <v>0</v>
      </c>
      <c r="H31" s="14">
        <f>IFERROR(Regnskap!H51/(Regnskap!H67+Regnskap!H75),0)</f>
        <v>0</v>
      </c>
      <c r="I31" s="14">
        <f>IFERROR(Regnskap!I51/(Regnskap!I67+Regnskap!I75),0)</f>
        <v>0</v>
      </c>
      <c r="J31" s="14">
        <f>IFERROR(Regnskap!J51/(Regnskap!J67+Regnskap!J75),0)</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Ark3"/>
  <dimension ref="B1:AA90"/>
  <sheetViews>
    <sheetView topLeftCell="A22" zoomScaleNormal="100" workbookViewId="0">
      <selection activeCell="I24" sqref="I24"/>
    </sheetView>
  </sheetViews>
  <sheetFormatPr baseColWidth="10" defaultRowHeight="15" x14ac:dyDescent="0.25"/>
  <cols>
    <col min="1" max="1" width="2.7109375" customWidth="1"/>
    <col min="14" max="14" width="4.7109375" customWidth="1"/>
  </cols>
  <sheetData>
    <row r="1" spans="2:20" s="1" customFormat="1" ht="31.9" customHeight="1" x14ac:dyDescent="0.25">
      <c r="B1" s="1" t="s">
        <v>115</v>
      </c>
    </row>
    <row r="2" spans="2:20" s="2" customFormat="1" ht="18" x14ac:dyDescent="0.25">
      <c r="B2" s="34">
        <f>Firmanavn</f>
        <v>0</v>
      </c>
    </row>
    <row r="3" spans="2:20" ht="31.9" customHeight="1" x14ac:dyDescent="0.25"/>
    <row r="4" spans="2:20" x14ac:dyDescent="0.25">
      <c r="B4" s="7" t="s">
        <v>107</v>
      </c>
      <c r="C4" s="7"/>
      <c r="D4" s="7"/>
      <c r="E4" s="7"/>
      <c r="F4" s="7"/>
      <c r="G4" s="7"/>
      <c r="H4" s="7"/>
      <c r="I4" s="7"/>
      <c r="J4" s="7"/>
      <c r="K4" s="7"/>
      <c r="L4" s="7"/>
      <c r="M4" s="7"/>
      <c r="N4" s="7"/>
      <c r="O4" s="7"/>
      <c r="P4" s="7"/>
      <c r="Q4" s="7"/>
      <c r="R4" s="7"/>
      <c r="S4" s="7"/>
      <c r="T4" s="7"/>
    </row>
    <row r="30" spans="2:20" x14ac:dyDescent="0.25">
      <c r="C30" s="27"/>
      <c r="D30" s="27"/>
      <c r="E30" s="27"/>
      <c r="F30" s="27"/>
      <c r="G30" s="27"/>
      <c r="H30" s="27"/>
      <c r="I30" s="27"/>
    </row>
    <row r="31" spans="2:20" x14ac:dyDescent="0.25">
      <c r="B31" s="7" t="s">
        <v>105</v>
      </c>
      <c r="C31" s="7"/>
      <c r="D31" s="7"/>
      <c r="E31" s="7"/>
      <c r="F31" s="7"/>
      <c r="G31" s="7"/>
      <c r="H31" s="7"/>
      <c r="I31" s="7"/>
      <c r="J31" s="7"/>
      <c r="K31" s="7"/>
      <c r="L31" s="7"/>
      <c r="M31" s="7"/>
      <c r="O31" s="7" t="s">
        <v>108</v>
      </c>
      <c r="P31" s="7"/>
      <c r="Q31" s="7"/>
      <c r="R31" s="7"/>
      <c r="S31" s="7"/>
      <c r="T31" s="7"/>
    </row>
    <row r="43" spans="2:8" x14ac:dyDescent="0.25">
      <c r="B43" s="27"/>
      <c r="C43" s="27"/>
      <c r="D43" s="27"/>
      <c r="E43" s="27"/>
      <c r="F43" s="27"/>
      <c r="G43" s="27"/>
      <c r="H43" s="27"/>
    </row>
    <row r="67" spans="2:27" hidden="1" x14ac:dyDescent="0.25">
      <c r="C67">
        <f>Nøkkeltall!D4</f>
        <v>7</v>
      </c>
      <c r="D67">
        <f>Nøkkeltall!E4</f>
        <v>6</v>
      </c>
      <c r="E67">
        <f>Nøkkeltall!F4</f>
        <v>5</v>
      </c>
      <c r="F67">
        <f>Nøkkeltall!G4</f>
        <v>4</v>
      </c>
      <c r="G67">
        <f>Nøkkeltall!H4</f>
        <v>3</v>
      </c>
      <c r="H67">
        <f>Nøkkeltall!I4</f>
        <v>2</v>
      </c>
      <c r="I67">
        <f>Nøkkeltall!J4</f>
        <v>1</v>
      </c>
    </row>
    <row r="68" spans="2:27" hidden="1" x14ac:dyDescent="0.25"/>
    <row r="69" spans="2:27" hidden="1" x14ac:dyDescent="0.25">
      <c r="B69" t="s">
        <v>111</v>
      </c>
    </row>
    <row r="70" spans="2:27" hidden="1" x14ac:dyDescent="0.25">
      <c r="B70" t="s">
        <v>112</v>
      </c>
      <c r="K70" t="s">
        <v>113</v>
      </c>
      <c r="T70" t="s">
        <v>114</v>
      </c>
    </row>
    <row r="71" spans="2:27" hidden="1" x14ac:dyDescent="0.25">
      <c r="B71" s="28">
        <v>1</v>
      </c>
      <c r="K71" s="28">
        <v>1</v>
      </c>
      <c r="T71">
        <v>1</v>
      </c>
    </row>
    <row r="72" spans="2:27" hidden="1" x14ac:dyDescent="0.25">
      <c r="B72" t="s">
        <v>110</v>
      </c>
      <c r="K72" t="s">
        <v>110</v>
      </c>
      <c r="T72" t="s">
        <v>110</v>
      </c>
    </row>
    <row r="73" spans="2:27" hidden="1" x14ac:dyDescent="0.25">
      <c r="B73" t="str">
        <f t="shared" ref="B73:I73" si="0">INDEX(B74:B79,$B$71,1)</f>
        <v>Driftsmargin</v>
      </c>
      <c r="C73">
        <f t="shared" si="0"/>
        <v>0</v>
      </c>
      <c r="D73">
        <f t="shared" si="0"/>
        <v>0</v>
      </c>
      <c r="E73">
        <f t="shared" si="0"/>
        <v>0</v>
      </c>
      <c r="F73">
        <f t="shared" si="0"/>
        <v>0</v>
      </c>
      <c r="G73">
        <f t="shared" si="0"/>
        <v>0</v>
      </c>
      <c r="H73">
        <f t="shared" si="0"/>
        <v>0</v>
      </c>
      <c r="I73">
        <f t="shared" si="0"/>
        <v>0</v>
      </c>
      <c r="K73" t="str">
        <f t="shared" ref="K73:R73" si="1">INDEX(K74:K81,$K$71,1)</f>
        <v>Kapitalens omløpshastighet</v>
      </c>
      <c r="L73">
        <f t="shared" si="1"/>
        <v>0</v>
      </c>
      <c r="M73">
        <f t="shared" si="1"/>
        <v>0</v>
      </c>
      <c r="N73">
        <f t="shared" si="1"/>
        <v>0</v>
      </c>
      <c r="O73">
        <f t="shared" si="1"/>
        <v>0</v>
      </c>
      <c r="P73">
        <f t="shared" si="1"/>
        <v>0</v>
      </c>
      <c r="Q73">
        <f t="shared" si="1"/>
        <v>0</v>
      </c>
      <c r="R73">
        <f t="shared" si="1"/>
        <v>0</v>
      </c>
      <c r="T73" t="str">
        <f t="shared" ref="T73:AA73" si="2">INDEX(T74:T75,$T$71,1)</f>
        <v>Resultatgrad</v>
      </c>
      <c r="U73">
        <f t="shared" si="2"/>
        <v>0</v>
      </c>
      <c r="V73">
        <f t="shared" si="2"/>
        <v>0</v>
      </c>
      <c r="W73">
        <f t="shared" si="2"/>
        <v>0</v>
      </c>
      <c r="X73">
        <f t="shared" si="2"/>
        <v>0</v>
      </c>
      <c r="Y73">
        <f t="shared" si="2"/>
        <v>0</v>
      </c>
      <c r="Z73">
        <f t="shared" si="2"/>
        <v>0</v>
      </c>
      <c r="AA73">
        <f t="shared" si="2"/>
        <v>0</v>
      </c>
    </row>
    <row r="74" spans="2:27" hidden="1" x14ac:dyDescent="0.25">
      <c r="B74" t="str">
        <f>Nøkkeltall!$C$5</f>
        <v>Driftsmargin</v>
      </c>
      <c r="C74">
        <f>Nøkkeltall!$D$5</f>
        <v>0</v>
      </c>
      <c r="D74">
        <f>Nøkkeltall!$E$5</f>
        <v>0</v>
      </c>
      <c r="E74">
        <f>Nøkkeltall!$F$5</f>
        <v>0</v>
      </c>
      <c r="F74">
        <f>Nøkkeltall!$G$5</f>
        <v>0</v>
      </c>
      <c r="G74">
        <f>Nøkkeltall!$H$5</f>
        <v>0</v>
      </c>
      <c r="H74">
        <f>Nøkkeltall!$I$5</f>
        <v>0</v>
      </c>
      <c r="I74">
        <f>Nøkkeltall!$J$5</f>
        <v>0</v>
      </c>
      <c r="K74" t="str">
        <f>Nøkkeltall!$C$6</f>
        <v>Kapitalens omløpshastighet</v>
      </c>
      <c r="L74" s="27">
        <f>Nøkkeltall!$D$6</f>
        <v>0</v>
      </c>
      <c r="M74" s="27">
        <f>Nøkkeltall!$E$6</f>
        <v>0</v>
      </c>
      <c r="N74" s="27">
        <f>Nøkkeltall!$F$6</f>
        <v>0</v>
      </c>
      <c r="O74" s="27">
        <f>Nøkkeltall!$G$6</f>
        <v>0</v>
      </c>
      <c r="P74" s="27">
        <f>Nøkkeltall!$H$6</f>
        <v>0</v>
      </c>
      <c r="Q74" s="27">
        <f>Nøkkeltall!$I$6</f>
        <v>0</v>
      </c>
      <c r="R74" s="27">
        <f>Nøkkeltall!$J$6</f>
        <v>0</v>
      </c>
      <c r="T74" t="str">
        <f>Nøkkeltall!$C$14</f>
        <v>Resultatgrad</v>
      </c>
      <c r="U74">
        <f>Nøkkeltall!$D$14</f>
        <v>0</v>
      </c>
      <c r="V74">
        <f>Nøkkeltall!$E$14</f>
        <v>0</v>
      </c>
      <c r="W74">
        <f>Nøkkeltall!$F$14</f>
        <v>0</v>
      </c>
      <c r="X74">
        <f>Nøkkeltall!$G$14</f>
        <v>0</v>
      </c>
      <c r="Y74">
        <f>Nøkkeltall!$H$14</f>
        <v>0</v>
      </c>
      <c r="Z74">
        <f>Nøkkeltall!$I$14</f>
        <v>0</v>
      </c>
      <c r="AA74">
        <f>Nøkkeltall!$J$14</f>
        <v>0</v>
      </c>
    </row>
    <row r="75" spans="2:27" hidden="1" x14ac:dyDescent="0.25">
      <c r="B75" t="str">
        <f>Nøkkeltall!$C$15</f>
        <v>Totalkapitalrentabilitet</v>
      </c>
      <c r="C75">
        <f>Nøkkeltall!$D$15</f>
        <v>0</v>
      </c>
      <c r="D75">
        <f>Nøkkeltall!$E$15</f>
        <v>0</v>
      </c>
      <c r="E75">
        <f>Nøkkeltall!$F$15</f>
        <v>0</v>
      </c>
      <c r="F75">
        <f>Nøkkeltall!$G$15</f>
        <v>0</v>
      </c>
      <c r="G75">
        <f>Nøkkeltall!$H$15</f>
        <v>0</v>
      </c>
      <c r="H75">
        <f>Nøkkeltall!$I$15</f>
        <v>0</v>
      </c>
      <c r="I75">
        <f>Nøkkeltall!$J$15</f>
        <v>0</v>
      </c>
      <c r="K75" t="str">
        <f>Nøkkeltall!$C$7</f>
        <v>Omløpshastighet kunder</v>
      </c>
      <c r="L75">
        <f>Nøkkeltall!$D$7</f>
        <v>0</v>
      </c>
      <c r="M75">
        <f>Nøkkeltall!$E$7</f>
        <v>0</v>
      </c>
      <c r="N75">
        <f>Nøkkeltall!$F$7</f>
        <v>0</v>
      </c>
      <c r="O75">
        <f>Nøkkeltall!$G$7</f>
        <v>0</v>
      </c>
      <c r="P75">
        <f>Nøkkeltall!$H$7</f>
        <v>0</v>
      </c>
      <c r="Q75">
        <f>Nøkkeltall!$I$7</f>
        <v>0</v>
      </c>
      <c r="R75">
        <f>Nøkkeltall!$J$7</f>
        <v>0</v>
      </c>
    </row>
    <row r="76" spans="2:27" hidden="1" x14ac:dyDescent="0.25">
      <c r="B76" t="str">
        <f>Nøkkeltall!$C$16</f>
        <v>Gjennomsnittlig gjeldsrente</v>
      </c>
      <c r="C76">
        <f>Nøkkeltall!$D$16</f>
        <v>0</v>
      </c>
      <c r="D76">
        <f>Nøkkeltall!$E$16</f>
        <v>0</v>
      </c>
      <c r="E76">
        <f>Nøkkeltall!$F$16</f>
        <v>0</v>
      </c>
      <c r="F76">
        <f>Nøkkeltall!$G$16</f>
        <v>0</v>
      </c>
      <c r="G76">
        <f>Nøkkeltall!$H$16</f>
        <v>0</v>
      </c>
      <c r="H76">
        <f>Nøkkeltall!$I$16</f>
        <v>0</v>
      </c>
      <c r="I76">
        <f>Nøkkeltall!$J$16</f>
        <v>0</v>
      </c>
      <c r="K76" t="str">
        <f>Nøkkeltall!$C$8</f>
        <v>Kredittiden til kundene</v>
      </c>
      <c r="L76">
        <f>Nøkkeltall!$D$8</f>
        <v>0</v>
      </c>
      <c r="M76">
        <f>Nøkkeltall!$E$8</f>
        <v>0</v>
      </c>
      <c r="N76">
        <f>Nøkkeltall!$F$8</f>
        <v>0</v>
      </c>
      <c r="O76">
        <f>Nøkkeltall!$G$8</f>
        <v>0</v>
      </c>
      <c r="P76">
        <f>Nøkkeltall!$H$8</f>
        <v>0</v>
      </c>
      <c r="Q76">
        <f>Nøkkeltall!$I$8</f>
        <v>0</v>
      </c>
      <c r="R76">
        <f>Nøkkeltall!$J$8</f>
        <v>0</v>
      </c>
    </row>
    <row r="77" spans="2:27" hidden="1" x14ac:dyDescent="0.25">
      <c r="B77" t="str">
        <f>Nøkkeltall!$C$17</f>
        <v>Egenkapitalrentabiliteten</v>
      </c>
      <c r="C77">
        <f>Nøkkeltall!$D$17</f>
        <v>0</v>
      </c>
      <c r="D77">
        <f>Nøkkeltall!$E$17</f>
        <v>0</v>
      </c>
      <c r="E77">
        <f>Nøkkeltall!$F$17</f>
        <v>0</v>
      </c>
      <c r="F77">
        <f>Nøkkeltall!$G$17</f>
        <v>0</v>
      </c>
      <c r="G77">
        <f>Nøkkeltall!$H$17</f>
        <v>0</v>
      </c>
      <c r="H77">
        <f>Nøkkeltall!$I$17</f>
        <v>0</v>
      </c>
      <c r="I77">
        <f>Nøkkeltall!$J$17</f>
        <v>0</v>
      </c>
      <c r="K77" t="str">
        <f>Nøkkeltall!$C$10</f>
        <v>Omløpshastighet leverandører</v>
      </c>
      <c r="L77">
        <f>Nøkkeltall!$D$10</f>
        <v>0</v>
      </c>
      <c r="M77">
        <f>Nøkkeltall!$E$10</f>
        <v>0</v>
      </c>
      <c r="N77">
        <f>Nøkkeltall!$F$10</f>
        <v>0</v>
      </c>
      <c r="O77">
        <f>Nøkkeltall!$G$10</f>
        <v>0</v>
      </c>
      <c r="P77">
        <f>Nøkkeltall!$H$10</f>
        <v>0</v>
      </c>
      <c r="Q77">
        <f>Nøkkeltall!$I$10</f>
        <v>0</v>
      </c>
      <c r="R77">
        <f>Nøkkeltall!$J$10</f>
        <v>0</v>
      </c>
    </row>
    <row r="78" spans="2:27" hidden="1" x14ac:dyDescent="0.25">
      <c r="B78" t="str">
        <f>Nøkkeltall!$C$18</f>
        <v>Brekkstangformelen</v>
      </c>
      <c r="C78">
        <f>Nøkkeltall!$D$18</f>
        <v>0</v>
      </c>
      <c r="D78">
        <f>Nøkkeltall!$E$18</f>
        <v>0</v>
      </c>
      <c r="E78">
        <f>Nøkkeltall!$F$18</f>
        <v>0</v>
      </c>
      <c r="F78">
        <f>Nøkkeltall!$G$18</f>
        <v>0</v>
      </c>
      <c r="G78">
        <f>Nøkkeltall!$H$18</f>
        <v>0</v>
      </c>
      <c r="H78">
        <f>Nøkkeltall!$I$18</f>
        <v>0</v>
      </c>
      <c r="I78">
        <f>Nøkkeltall!$J$18</f>
        <v>0</v>
      </c>
      <c r="K78" t="str">
        <f>Nøkkeltall!$C$11</f>
        <v>Kredittiden til leverandører</v>
      </c>
      <c r="L78">
        <f>Nøkkeltall!$D$11</f>
        <v>0</v>
      </c>
      <c r="M78">
        <f>Nøkkeltall!$E$11</f>
        <v>0</v>
      </c>
      <c r="N78">
        <f>Nøkkeltall!$F$11</f>
        <v>0</v>
      </c>
      <c r="O78">
        <f>Nøkkeltall!$G$11</f>
        <v>0</v>
      </c>
      <c r="P78">
        <f>Nøkkeltall!$H$11</f>
        <v>0</v>
      </c>
      <c r="Q78">
        <f>Nøkkeltall!$I$11</f>
        <v>0</v>
      </c>
      <c r="R78">
        <f>Nøkkeltall!$J$11</f>
        <v>0</v>
      </c>
    </row>
    <row r="79" spans="2:27" hidden="1" x14ac:dyDescent="0.25">
      <c r="K79" t="str">
        <f>Nøkkeltall!$C$12</f>
        <v>Omløpshastighet varer</v>
      </c>
      <c r="L79">
        <f>Nøkkeltall!$D$12</f>
        <v>0</v>
      </c>
      <c r="M79">
        <f>Nøkkeltall!$E$12</f>
        <v>0</v>
      </c>
      <c r="N79">
        <f>Nøkkeltall!$F$12</f>
        <v>0</v>
      </c>
      <c r="O79">
        <f>Nøkkeltall!$G$12</f>
        <v>0</v>
      </c>
      <c r="P79">
        <f>Nøkkeltall!$H$12</f>
        <v>0</v>
      </c>
      <c r="Q79">
        <f>Nøkkeltall!$I$12</f>
        <v>0</v>
      </c>
      <c r="R79">
        <f>Nøkkeltall!$J$12</f>
        <v>0</v>
      </c>
    </row>
    <row r="80" spans="2:27" hidden="1" x14ac:dyDescent="0.25">
      <c r="K80" t="str">
        <f>Nøkkeltall!$C$13</f>
        <v>Lagringstid varer</v>
      </c>
      <c r="L80">
        <f>Nøkkeltall!$D$13</f>
        <v>0</v>
      </c>
      <c r="M80">
        <f>Nøkkeltall!$E$13</f>
        <v>0</v>
      </c>
      <c r="N80">
        <f>Nøkkeltall!$F$13</f>
        <v>0</v>
      </c>
      <c r="O80">
        <f>Nøkkeltall!$G$13</f>
        <v>0</v>
      </c>
      <c r="P80">
        <f>Nøkkeltall!$H$13</f>
        <v>0</v>
      </c>
      <c r="Q80">
        <f>Nøkkeltall!$I$13</f>
        <v>0</v>
      </c>
      <c r="R80">
        <f>Nøkkeltall!$J$13</f>
        <v>0</v>
      </c>
    </row>
    <row r="83" spans="2:27" hidden="1" x14ac:dyDescent="0.25">
      <c r="B83" t="s">
        <v>114</v>
      </c>
      <c r="K83" t="s">
        <v>116</v>
      </c>
      <c r="T83" t="s">
        <v>114</v>
      </c>
    </row>
    <row r="84" spans="2:27" hidden="1" x14ac:dyDescent="0.25">
      <c r="B84" s="28">
        <v>2</v>
      </c>
      <c r="K84" s="28">
        <v>2</v>
      </c>
      <c r="T84" s="28">
        <v>3</v>
      </c>
    </row>
    <row r="85" spans="2:27" hidden="1" x14ac:dyDescent="0.25">
      <c r="B85" t="s">
        <v>110</v>
      </c>
      <c r="K85" t="s">
        <v>110</v>
      </c>
      <c r="T85" t="s">
        <v>110</v>
      </c>
    </row>
    <row r="86" spans="2:27" hidden="1" x14ac:dyDescent="0.25">
      <c r="B86" t="str">
        <f t="shared" ref="B86:I86" si="3">INDEX(B87:B91,$B$84,1)</f>
        <v>Likviditetsgrad 2</v>
      </c>
      <c r="C86">
        <f t="shared" si="3"/>
        <v>0</v>
      </c>
      <c r="D86">
        <f t="shared" si="3"/>
        <v>0</v>
      </c>
      <c r="E86">
        <f t="shared" si="3"/>
        <v>0</v>
      </c>
      <c r="F86">
        <f t="shared" si="3"/>
        <v>0</v>
      </c>
      <c r="G86">
        <f t="shared" si="3"/>
        <v>0</v>
      </c>
      <c r="H86">
        <f t="shared" si="3"/>
        <v>0</v>
      </c>
      <c r="I86">
        <f t="shared" si="3"/>
        <v>0</v>
      </c>
      <c r="K86" t="str">
        <f t="shared" ref="K86:R86" si="4">INDEX(K87:K89,$K$84,1)</f>
        <v>EBITDA</v>
      </c>
      <c r="L86">
        <f t="shared" si="4"/>
        <v>0</v>
      </c>
      <c r="M86">
        <f t="shared" si="4"/>
        <v>0</v>
      </c>
      <c r="N86">
        <f t="shared" si="4"/>
        <v>0</v>
      </c>
      <c r="O86">
        <f t="shared" si="4"/>
        <v>0</v>
      </c>
      <c r="P86">
        <f t="shared" si="4"/>
        <v>0</v>
      </c>
      <c r="Q86">
        <f t="shared" si="4"/>
        <v>0</v>
      </c>
      <c r="R86">
        <f t="shared" si="4"/>
        <v>0</v>
      </c>
      <c r="T86" t="str">
        <f t="shared" ref="T86:AA86" si="5">INDEX(T87:T90,$T$84,1)</f>
        <v>Langsiktig anleggsfinansiering</v>
      </c>
      <c r="U86">
        <f t="shared" si="5"/>
        <v>0</v>
      </c>
      <c r="V86">
        <f t="shared" si="5"/>
        <v>0</v>
      </c>
      <c r="W86">
        <f t="shared" si="5"/>
        <v>0</v>
      </c>
      <c r="X86">
        <f t="shared" si="5"/>
        <v>0</v>
      </c>
      <c r="Y86">
        <f t="shared" si="5"/>
        <v>0</v>
      </c>
      <c r="Z86">
        <f t="shared" si="5"/>
        <v>0</v>
      </c>
      <c r="AA86">
        <f t="shared" si="5"/>
        <v>0</v>
      </c>
    </row>
    <row r="87" spans="2:27" hidden="1" x14ac:dyDescent="0.25">
      <c r="B87" t="str">
        <f>Nøkkeltall!$C$21</f>
        <v>Likviditetsgrad 1</v>
      </c>
      <c r="C87">
        <f>Nøkkeltall!$D$21</f>
        <v>0</v>
      </c>
      <c r="D87">
        <f>Nøkkeltall!$E$21</f>
        <v>0</v>
      </c>
      <c r="E87">
        <f>Nøkkeltall!$F$21</f>
        <v>0</v>
      </c>
      <c r="F87">
        <f>Nøkkeltall!$G$21</f>
        <v>0</v>
      </c>
      <c r="G87">
        <f>Nøkkeltall!$H$21</f>
        <v>0</v>
      </c>
      <c r="H87">
        <f>Nøkkeltall!$I$21</f>
        <v>0</v>
      </c>
      <c r="I87">
        <f>Nøkkeltall!$J$21</f>
        <v>0</v>
      </c>
      <c r="K87" t="str">
        <f>Nøkkeltall!$C$23</f>
        <v>Arbeidskapital (i tusen NOK)</v>
      </c>
      <c r="L87">
        <f>Nøkkeltall!$D$23</f>
        <v>0</v>
      </c>
      <c r="M87">
        <f>Nøkkeltall!$E$23</f>
        <v>0</v>
      </c>
      <c r="N87">
        <f>Nøkkeltall!$F$23</f>
        <v>0</v>
      </c>
      <c r="O87">
        <f>Nøkkeltall!$G$23</f>
        <v>0</v>
      </c>
      <c r="P87">
        <f>Nøkkeltall!$H$23</f>
        <v>0</v>
      </c>
      <c r="Q87">
        <f>Nøkkeltall!$I$23</f>
        <v>0</v>
      </c>
      <c r="R87">
        <f>Nøkkeltall!$J$23</f>
        <v>0</v>
      </c>
      <c r="T87" t="str">
        <f>Nøkkeltall!$C$29</f>
        <v>Gjeldsgrad</v>
      </c>
      <c r="U87">
        <f>Nøkkeltall!$D$29</f>
        <v>0</v>
      </c>
      <c r="V87">
        <f>Nøkkeltall!$E$29</f>
        <v>0</v>
      </c>
      <c r="W87">
        <f>Nøkkeltall!$F$29</f>
        <v>0</v>
      </c>
      <c r="X87">
        <f>Nøkkeltall!$G$29</f>
        <v>0</v>
      </c>
      <c r="Y87">
        <f>Nøkkeltall!$H$29</f>
        <v>0</v>
      </c>
      <c r="Z87">
        <f>Nøkkeltall!$I$29</f>
        <v>0</v>
      </c>
      <c r="AA87">
        <f>Nøkkeltall!$J$29</f>
        <v>0</v>
      </c>
    </row>
    <row r="88" spans="2:27" hidden="1" x14ac:dyDescent="0.25">
      <c r="B88" t="str">
        <f>Nøkkeltall!$C$22</f>
        <v>Likviditetsgrad 2</v>
      </c>
      <c r="C88">
        <f>Nøkkeltall!$D$22</f>
        <v>0</v>
      </c>
      <c r="D88">
        <f>Nøkkeltall!$E$22</f>
        <v>0</v>
      </c>
      <c r="E88">
        <f>Nøkkeltall!$F$22</f>
        <v>0</v>
      </c>
      <c r="F88">
        <f>Nøkkeltall!$G$22</f>
        <v>0</v>
      </c>
      <c r="G88">
        <f>Nøkkeltall!$H$22</f>
        <v>0</v>
      </c>
      <c r="H88">
        <f>Nøkkeltall!$I$22</f>
        <v>0</v>
      </c>
      <c r="I88">
        <f>Nøkkeltall!$J$22</f>
        <v>0</v>
      </c>
      <c r="K88" t="str">
        <f>Nøkkeltall!$C$25</f>
        <v>EBITDA</v>
      </c>
      <c r="L88">
        <f>Nøkkeltall!$D$25</f>
        <v>0</v>
      </c>
      <c r="M88">
        <f>Nøkkeltall!$E$25</f>
        <v>0</v>
      </c>
      <c r="N88">
        <f>Nøkkeltall!$F$25</f>
        <v>0</v>
      </c>
      <c r="O88">
        <f>Nøkkeltall!$G$25</f>
        <v>0</v>
      </c>
      <c r="P88">
        <f>Nøkkeltall!$H$25</f>
        <v>0</v>
      </c>
      <c r="Q88">
        <f>Nøkkeltall!$I$25</f>
        <v>0</v>
      </c>
      <c r="R88">
        <f>Nøkkeltall!$J$25</f>
        <v>0</v>
      </c>
      <c r="T88" t="str">
        <f>Nøkkeltall!$C$30</f>
        <v>Egenkapitalandel</v>
      </c>
      <c r="U88">
        <f>Nøkkeltall!$D$30</f>
        <v>0</v>
      </c>
      <c r="V88">
        <f>Nøkkeltall!$E$30</f>
        <v>0</v>
      </c>
      <c r="W88">
        <f>Nøkkeltall!$F$30</f>
        <v>0</v>
      </c>
      <c r="X88">
        <f>Nøkkeltall!$G$30</f>
        <v>0</v>
      </c>
      <c r="Y88">
        <f>Nøkkeltall!$H$30</f>
        <v>0</v>
      </c>
      <c r="Z88">
        <f>Nøkkeltall!$I$30</f>
        <v>0</v>
      </c>
      <c r="AA88">
        <f>Nøkkeltall!$J$30</f>
        <v>0</v>
      </c>
    </row>
    <row r="89" spans="2:27" hidden="1" x14ac:dyDescent="0.25">
      <c r="B89" t="str">
        <f>Nøkkeltall!$C$24</f>
        <v>Arbeidskapitalen/Driftsinntekter</v>
      </c>
      <c r="C89">
        <f>Nøkkeltall!$D$24</f>
        <v>0</v>
      </c>
      <c r="D89">
        <f>Nøkkeltall!$E$24</f>
        <v>0</v>
      </c>
      <c r="E89">
        <f>Nøkkeltall!$F$24</f>
        <v>0</v>
      </c>
      <c r="F89">
        <f>Nøkkeltall!$G$24</f>
        <v>0</v>
      </c>
      <c r="G89">
        <f>Nøkkeltall!$H$24</f>
        <v>0</v>
      </c>
      <c r="H89">
        <f>Nøkkeltall!$I$24</f>
        <v>0</v>
      </c>
      <c r="I89">
        <f>Nøkkeltall!$J$24</f>
        <v>0</v>
      </c>
      <c r="T89" t="str">
        <f>Nøkkeltall!$C$31</f>
        <v>Langsiktig anleggsfinansiering</v>
      </c>
      <c r="U89">
        <f>Nøkkeltall!$D$31</f>
        <v>0</v>
      </c>
      <c r="V89">
        <f>Nøkkeltall!$E$31</f>
        <v>0</v>
      </c>
      <c r="W89">
        <f>Nøkkeltall!$F$31</f>
        <v>0</v>
      </c>
      <c r="X89">
        <f>Nøkkeltall!$G$31</f>
        <v>0</v>
      </c>
      <c r="Y89">
        <f>Nøkkeltall!$H$31</f>
        <v>0</v>
      </c>
      <c r="Z89">
        <f>Nøkkeltall!$I$31</f>
        <v>0</v>
      </c>
      <c r="AA89">
        <f>Nøkkeltall!$J$31</f>
        <v>0</v>
      </c>
    </row>
    <row r="90" spans="2:27" hidden="1" x14ac:dyDescent="0.25">
      <c r="B90" t="str">
        <f>Nøkkeltall!$C$26</f>
        <v>EBITDA/Driftsinntekter</v>
      </c>
      <c r="C90">
        <f>Nøkkeltall!$D$26</f>
        <v>0</v>
      </c>
      <c r="D90">
        <f>Nøkkeltall!$E$26</f>
        <v>0</v>
      </c>
      <c r="E90">
        <f>Nøkkeltall!$F$26</f>
        <v>0</v>
      </c>
      <c r="F90">
        <f>Nøkkeltall!$G$26</f>
        <v>0</v>
      </c>
      <c r="G90">
        <f>Nøkkeltall!$H$26</f>
        <v>0</v>
      </c>
      <c r="H90">
        <f>Nøkkeltall!$I$26</f>
        <v>0</v>
      </c>
      <c r="I90">
        <f>Nøkkeltall!$J$26</f>
        <v>0</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4993" r:id="rId3" name="Group Box 1">
              <controlPr defaultSize="0" autoFill="0" autoPict="0">
                <anchor moveWithCells="1">
                  <from>
                    <xdr:col>1</xdr:col>
                    <xdr:colOff>9525</xdr:colOff>
                    <xdr:row>20</xdr:row>
                    <xdr:rowOff>142875</xdr:rowOff>
                  </from>
                  <to>
                    <xdr:col>6</xdr:col>
                    <xdr:colOff>657225</xdr:colOff>
                    <xdr:row>27</xdr:row>
                    <xdr:rowOff>161925</xdr:rowOff>
                  </to>
                </anchor>
              </controlPr>
            </control>
          </mc:Choice>
        </mc:AlternateContent>
        <mc:AlternateContent xmlns:mc="http://schemas.openxmlformats.org/markup-compatibility/2006">
          <mc:Choice Requires="x14">
            <control shapeId="84994" r:id="rId4" name="Option Button 2">
              <controlPr defaultSize="0" autoFill="0" autoLine="0" autoPict="0">
                <anchor moveWithCells="1">
                  <from>
                    <xdr:col>1</xdr:col>
                    <xdr:colOff>228600</xdr:colOff>
                    <xdr:row>22</xdr:row>
                    <xdr:rowOff>38100</xdr:rowOff>
                  </from>
                  <to>
                    <xdr:col>2</xdr:col>
                    <xdr:colOff>409575</xdr:colOff>
                    <xdr:row>23</xdr:row>
                    <xdr:rowOff>38100</xdr:rowOff>
                  </to>
                </anchor>
              </controlPr>
            </control>
          </mc:Choice>
        </mc:AlternateContent>
        <mc:AlternateContent xmlns:mc="http://schemas.openxmlformats.org/markup-compatibility/2006">
          <mc:Choice Requires="x14">
            <control shapeId="84995" r:id="rId5" name="Option Button 3">
              <controlPr defaultSize="0" autoFill="0" autoLine="0" autoPict="0">
                <anchor moveWithCells="1">
                  <from>
                    <xdr:col>3</xdr:col>
                    <xdr:colOff>57150</xdr:colOff>
                    <xdr:row>22</xdr:row>
                    <xdr:rowOff>38100</xdr:rowOff>
                  </from>
                  <to>
                    <xdr:col>4</xdr:col>
                    <xdr:colOff>542925</xdr:colOff>
                    <xdr:row>23</xdr:row>
                    <xdr:rowOff>38100</xdr:rowOff>
                  </to>
                </anchor>
              </controlPr>
            </control>
          </mc:Choice>
        </mc:AlternateContent>
        <mc:AlternateContent xmlns:mc="http://schemas.openxmlformats.org/markup-compatibility/2006">
          <mc:Choice Requires="x14">
            <control shapeId="84996" r:id="rId6" name="Option Button 4">
              <controlPr defaultSize="0" autoFill="0" autoLine="0" autoPict="0">
                <anchor moveWithCells="1">
                  <from>
                    <xdr:col>4</xdr:col>
                    <xdr:colOff>561975</xdr:colOff>
                    <xdr:row>22</xdr:row>
                    <xdr:rowOff>38100</xdr:rowOff>
                  </from>
                  <to>
                    <xdr:col>6</xdr:col>
                    <xdr:colOff>438150</xdr:colOff>
                    <xdr:row>23</xdr:row>
                    <xdr:rowOff>38100</xdr:rowOff>
                  </to>
                </anchor>
              </controlPr>
            </control>
          </mc:Choice>
        </mc:AlternateContent>
        <mc:AlternateContent xmlns:mc="http://schemas.openxmlformats.org/markup-compatibility/2006">
          <mc:Choice Requires="x14">
            <control shapeId="84997" r:id="rId7" name="Option Button 5">
              <controlPr defaultSize="0" autoFill="0" autoLine="0" autoPict="0">
                <anchor moveWithCells="1">
                  <from>
                    <xdr:col>1</xdr:col>
                    <xdr:colOff>228600</xdr:colOff>
                    <xdr:row>23</xdr:row>
                    <xdr:rowOff>152400</xdr:rowOff>
                  </from>
                  <to>
                    <xdr:col>3</xdr:col>
                    <xdr:colOff>47625</xdr:colOff>
                    <xdr:row>24</xdr:row>
                    <xdr:rowOff>152400</xdr:rowOff>
                  </to>
                </anchor>
              </controlPr>
            </control>
          </mc:Choice>
        </mc:AlternateContent>
        <mc:AlternateContent xmlns:mc="http://schemas.openxmlformats.org/markup-compatibility/2006">
          <mc:Choice Requires="x14">
            <control shapeId="84998" r:id="rId8" name="Option Button 6">
              <controlPr defaultSize="0" autoFill="0" autoLine="0" autoPict="0">
                <anchor moveWithCells="1">
                  <from>
                    <xdr:col>3</xdr:col>
                    <xdr:colOff>57150</xdr:colOff>
                    <xdr:row>23</xdr:row>
                    <xdr:rowOff>152400</xdr:rowOff>
                  </from>
                  <to>
                    <xdr:col>5</xdr:col>
                    <xdr:colOff>180975</xdr:colOff>
                    <xdr:row>24</xdr:row>
                    <xdr:rowOff>152400</xdr:rowOff>
                  </to>
                </anchor>
              </controlPr>
            </control>
          </mc:Choice>
        </mc:AlternateContent>
        <mc:AlternateContent xmlns:mc="http://schemas.openxmlformats.org/markup-compatibility/2006">
          <mc:Choice Requires="x14">
            <control shapeId="84999" r:id="rId9" name="Group Box 7">
              <controlPr defaultSize="0" autoFill="0" autoPict="0">
                <anchor moveWithCells="1">
                  <from>
                    <xdr:col>7</xdr:col>
                    <xdr:colOff>142875</xdr:colOff>
                    <xdr:row>20</xdr:row>
                    <xdr:rowOff>142875</xdr:rowOff>
                  </from>
                  <to>
                    <xdr:col>12</xdr:col>
                    <xdr:colOff>762000</xdr:colOff>
                    <xdr:row>27</xdr:row>
                    <xdr:rowOff>171450</xdr:rowOff>
                  </to>
                </anchor>
              </controlPr>
            </control>
          </mc:Choice>
        </mc:AlternateContent>
        <mc:AlternateContent xmlns:mc="http://schemas.openxmlformats.org/markup-compatibility/2006">
          <mc:Choice Requires="x14">
            <control shapeId="85000" r:id="rId10" name="Option Button 8">
              <controlPr defaultSize="0" autoFill="0" autoLine="0" autoPict="0">
                <anchor moveWithCells="1">
                  <from>
                    <xdr:col>7</xdr:col>
                    <xdr:colOff>333375</xdr:colOff>
                    <xdr:row>22</xdr:row>
                    <xdr:rowOff>0</xdr:rowOff>
                  </from>
                  <to>
                    <xdr:col>9</xdr:col>
                    <xdr:colOff>57150</xdr:colOff>
                    <xdr:row>23</xdr:row>
                    <xdr:rowOff>28575</xdr:rowOff>
                  </to>
                </anchor>
              </controlPr>
            </control>
          </mc:Choice>
        </mc:AlternateContent>
        <mc:AlternateContent xmlns:mc="http://schemas.openxmlformats.org/markup-compatibility/2006">
          <mc:Choice Requires="x14">
            <control shapeId="85001" r:id="rId11" name="Option Button 9">
              <controlPr defaultSize="0" autoFill="0" autoLine="0" autoPict="0">
                <anchor moveWithCells="1">
                  <from>
                    <xdr:col>9</xdr:col>
                    <xdr:colOff>323850</xdr:colOff>
                    <xdr:row>22</xdr:row>
                    <xdr:rowOff>0</xdr:rowOff>
                  </from>
                  <to>
                    <xdr:col>11</xdr:col>
                    <xdr:colOff>47625</xdr:colOff>
                    <xdr:row>23</xdr:row>
                    <xdr:rowOff>28575</xdr:rowOff>
                  </to>
                </anchor>
              </controlPr>
            </control>
          </mc:Choice>
        </mc:AlternateContent>
        <mc:AlternateContent xmlns:mc="http://schemas.openxmlformats.org/markup-compatibility/2006">
          <mc:Choice Requires="x14">
            <control shapeId="85002" r:id="rId12" name="Option Button 10">
              <controlPr defaultSize="0" autoFill="0" autoLine="0" autoPict="0">
                <anchor moveWithCells="1">
                  <from>
                    <xdr:col>11</xdr:col>
                    <xdr:colOff>209550</xdr:colOff>
                    <xdr:row>22</xdr:row>
                    <xdr:rowOff>0</xdr:rowOff>
                  </from>
                  <to>
                    <xdr:col>12</xdr:col>
                    <xdr:colOff>695325</xdr:colOff>
                    <xdr:row>23</xdr:row>
                    <xdr:rowOff>28575</xdr:rowOff>
                  </to>
                </anchor>
              </controlPr>
            </control>
          </mc:Choice>
        </mc:AlternateContent>
        <mc:AlternateContent xmlns:mc="http://schemas.openxmlformats.org/markup-compatibility/2006">
          <mc:Choice Requires="x14">
            <control shapeId="85003" r:id="rId13" name="Option Button 11">
              <controlPr defaultSize="0" autoFill="0" autoLine="0" autoPict="0">
                <anchor moveWithCells="1">
                  <from>
                    <xdr:col>7</xdr:col>
                    <xdr:colOff>342900</xdr:colOff>
                    <xdr:row>23</xdr:row>
                    <xdr:rowOff>123825</xdr:rowOff>
                  </from>
                  <to>
                    <xdr:col>9</xdr:col>
                    <xdr:colOff>200025</xdr:colOff>
                    <xdr:row>24</xdr:row>
                    <xdr:rowOff>152400</xdr:rowOff>
                  </to>
                </anchor>
              </controlPr>
            </control>
          </mc:Choice>
        </mc:AlternateContent>
        <mc:AlternateContent xmlns:mc="http://schemas.openxmlformats.org/markup-compatibility/2006">
          <mc:Choice Requires="x14">
            <control shapeId="85004" r:id="rId14" name="Option Button 12">
              <controlPr defaultSize="0" autoFill="0" autoLine="0" autoPict="0">
                <anchor moveWithCells="1">
                  <from>
                    <xdr:col>9</xdr:col>
                    <xdr:colOff>333375</xdr:colOff>
                    <xdr:row>23</xdr:row>
                    <xdr:rowOff>123825</xdr:rowOff>
                  </from>
                  <to>
                    <xdr:col>11</xdr:col>
                    <xdr:colOff>57150</xdr:colOff>
                    <xdr:row>24</xdr:row>
                    <xdr:rowOff>152400</xdr:rowOff>
                  </to>
                </anchor>
              </controlPr>
            </control>
          </mc:Choice>
        </mc:AlternateContent>
        <mc:AlternateContent xmlns:mc="http://schemas.openxmlformats.org/markup-compatibility/2006">
          <mc:Choice Requires="x14">
            <control shapeId="85005" r:id="rId15" name="Option Button 13">
              <controlPr defaultSize="0" autoFill="0" autoLine="0" autoPict="0">
                <anchor moveWithCells="1">
                  <from>
                    <xdr:col>11</xdr:col>
                    <xdr:colOff>209550</xdr:colOff>
                    <xdr:row>23</xdr:row>
                    <xdr:rowOff>123825</xdr:rowOff>
                  </from>
                  <to>
                    <xdr:col>12</xdr:col>
                    <xdr:colOff>695325</xdr:colOff>
                    <xdr:row>24</xdr:row>
                    <xdr:rowOff>152400</xdr:rowOff>
                  </to>
                </anchor>
              </controlPr>
            </control>
          </mc:Choice>
        </mc:AlternateContent>
        <mc:AlternateContent xmlns:mc="http://schemas.openxmlformats.org/markup-compatibility/2006">
          <mc:Choice Requires="x14">
            <control shapeId="85007" r:id="rId16" name="Option Button 15">
              <controlPr defaultSize="0" autoFill="0" autoLine="0" autoPict="0">
                <anchor moveWithCells="1">
                  <from>
                    <xdr:col>7</xdr:col>
                    <xdr:colOff>352425</xdr:colOff>
                    <xdr:row>25</xdr:row>
                    <xdr:rowOff>38100</xdr:rowOff>
                  </from>
                  <to>
                    <xdr:col>9</xdr:col>
                    <xdr:colOff>66675</xdr:colOff>
                    <xdr:row>26</xdr:row>
                    <xdr:rowOff>76200</xdr:rowOff>
                  </to>
                </anchor>
              </controlPr>
            </control>
          </mc:Choice>
        </mc:AlternateContent>
        <mc:AlternateContent xmlns:mc="http://schemas.openxmlformats.org/markup-compatibility/2006">
          <mc:Choice Requires="x14">
            <control shapeId="85008" r:id="rId17" name="Group Box 16">
              <controlPr defaultSize="0" autoFill="0" autoPict="0">
                <anchor moveWithCells="1">
                  <from>
                    <xdr:col>0</xdr:col>
                    <xdr:colOff>180975</xdr:colOff>
                    <xdr:row>48</xdr:row>
                    <xdr:rowOff>19050</xdr:rowOff>
                  </from>
                  <to>
                    <xdr:col>6</xdr:col>
                    <xdr:colOff>666750</xdr:colOff>
                    <xdr:row>55</xdr:row>
                    <xdr:rowOff>57150</xdr:rowOff>
                  </to>
                </anchor>
              </controlPr>
            </control>
          </mc:Choice>
        </mc:AlternateContent>
        <mc:AlternateContent xmlns:mc="http://schemas.openxmlformats.org/markup-compatibility/2006">
          <mc:Choice Requires="x14">
            <control shapeId="85009" r:id="rId18" name="Option Button 17">
              <controlPr defaultSize="0" autoFill="0" autoLine="0" autoPict="0">
                <anchor moveWithCells="1">
                  <from>
                    <xdr:col>1</xdr:col>
                    <xdr:colOff>161925</xdr:colOff>
                    <xdr:row>49</xdr:row>
                    <xdr:rowOff>133350</xdr:rowOff>
                  </from>
                  <to>
                    <xdr:col>3</xdr:col>
                    <xdr:colOff>19050</xdr:colOff>
                    <xdr:row>50</xdr:row>
                    <xdr:rowOff>171450</xdr:rowOff>
                  </to>
                </anchor>
              </controlPr>
            </control>
          </mc:Choice>
        </mc:AlternateContent>
        <mc:AlternateContent xmlns:mc="http://schemas.openxmlformats.org/markup-compatibility/2006">
          <mc:Choice Requires="x14">
            <control shapeId="85010" r:id="rId19" name="Option Button 18">
              <controlPr defaultSize="0" autoFill="0" autoLine="0" autoPict="0">
                <anchor moveWithCells="1">
                  <from>
                    <xdr:col>3</xdr:col>
                    <xdr:colOff>0</xdr:colOff>
                    <xdr:row>49</xdr:row>
                    <xdr:rowOff>133350</xdr:rowOff>
                  </from>
                  <to>
                    <xdr:col>4</xdr:col>
                    <xdr:colOff>647700</xdr:colOff>
                    <xdr:row>50</xdr:row>
                    <xdr:rowOff>171450</xdr:rowOff>
                  </to>
                </anchor>
              </controlPr>
            </control>
          </mc:Choice>
        </mc:AlternateContent>
        <mc:AlternateContent xmlns:mc="http://schemas.openxmlformats.org/markup-compatibility/2006">
          <mc:Choice Requires="x14">
            <control shapeId="85011" r:id="rId20" name="Option Button 19">
              <controlPr defaultSize="0" autoFill="0" autoLine="0" autoPict="0">
                <anchor moveWithCells="1">
                  <from>
                    <xdr:col>4</xdr:col>
                    <xdr:colOff>495300</xdr:colOff>
                    <xdr:row>49</xdr:row>
                    <xdr:rowOff>142875</xdr:rowOff>
                  </from>
                  <to>
                    <xdr:col>6</xdr:col>
                    <xdr:colOff>647700</xdr:colOff>
                    <xdr:row>50</xdr:row>
                    <xdr:rowOff>171450</xdr:rowOff>
                  </to>
                </anchor>
              </controlPr>
            </control>
          </mc:Choice>
        </mc:AlternateContent>
        <mc:AlternateContent xmlns:mc="http://schemas.openxmlformats.org/markup-compatibility/2006">
          <mc:Choice Requires="x14">
            <control shapeId="85012" r:id="rId21" name="Option Button 20">
              <controlPr defaultSize="0" autoFill="0" autoLine="0" autoPict="0">
                <anchor moveWithCells="1">
                  <from>
                    <xdr:col>1</xdr:col>
                    <xdr:colOff>171450</xdr:colOff>
                    <xdr:row>51</xdr:row>
                    <xdr:rowOff>38100</xdr:rowOff>
                  </from>
                  <to>
                    <xdr:col>3</xdr:col>
                    <xdr:colOff>19050</xdr:colOff>
                    <xdr:row>52</xdr:row>
                    <xdr:rowOff>57150</xdr:rowOff>
                  </to>
                </anchor>
              </controlPr>
            </control>
          </mc:Choice>
        </mc:AlternateContent>
        <mc:AlternateContent xmlns:mc="http://schemas.openxmlformats.org/markup-compatibility/2006">
          <mc:Choice Requires="x14">
            <control shapeId="85013" r:id="rId22" name="Group Box 21">
              <controlPr defaultSize="0" autoFill="0" autoPict="0">
                <anchor moveWithCells="1">
                  <from>
                    <xdr:col>7</xdr:col>
                    <xdr:colOff>133350</xdr:colOff>
                    <xdr:row>48</xdr:row>
                    <xdr:rowOff>19050</xdr:rowOff>
                  </from>
                  <to>
                    <xdr:col>13</xdr:col>
                    <xdr:colOff>19050</xdr:colOff>
                    <xdr:row>55</xdr:row>
                    <xdr:rowOff>57150</xdr:rowOff>
                  </to>
                </anchor>
              </controlPr>
            </control>
          </mc:Choice>
        </mc:AlternateContent>
        <mc:AlternateContent xmlns:mc="http://schemas.openxmlformats.org/markup-compatibility/2006">
          <mc:Choice Requires="x14">
            <control shapeId="85014" r:id="rId23" name="Option Button 22">
              <controlPr defaultSize="0" autoFill="0" autoLine="0" autoPict="0">
                <anchor moveWithCells="1">
                  <from>
                    <xdr:col>7</xdr:col>
                    <xdr:colOff>352425</xdr:colOff>
                    <xdr:row>49</xdr:row>
                    <xdr:rowOff>133350</xdr:rowOff>
                  </from>
                  <to>
                    <xdr:col>8</xdr:col>
                    <xdr:colOff>590550</xdr:colOff>
                    <xdr:row>50</xdr:row>
                    <xdr:rowOff>161925</xdr:rowOff>
                  </to>
                </anchor>
              </controlPr>
            </control>
          </mc:Choice>
        </mc:AlternateContent>
        <mc:AlternateContent xmlns:mc="http://schemas.openxmlformats.org/markup-compatibility/2006">
          <mc:Choice Requires="x14">
            <control shapeId="85015" r:id="rId24" name="Option Button 23">
              <controlPr defaultSize="0" autoFill="0" autoLine="0" autoPict="0">
                <anchor moveWithCells="1">
                  <from>
                    <xdr:col>9</xdr:col>
                    <xdr:colOff>323850</xdr:colOff>
                    <xdr:row>49</xdr:row>
                    <xdr:rowOff>133350</xdr:rowOff>
                  </from>
                  <to>
                    <xdr:col>10</xdr:col>
                    <xdr:colOff>561975</xdr:colOff>
                    <xdr:row>50</xdr:row>
                    <xdr:rowOff>161925</xdr:rowOff>
                  </to>
                </anchor>
              </controlPr>
            </control>
          </mc:Choice>
        </mc:AlternateContent>
        <mc:AlternateContent xmlns:mc="http://schemas.openxmlformats.org/markup-compatibility/2006">
          <mc:Choice Requires="x14">
            <control shapeId="85016" r:id="rId25" name="Group Box 24">
              <controlPr defaultSize="0" autoFill="0" autoPict="0">
                <anchor moveWithCells="1">
                  <from>
                    <xdr:col>14</xdr:col>
                    <xdr:colOff>57150</xdr:colOff>
                    <xdr:row>48</xdr:row>
                    <xdr:rowOff>9525</xdr:rowOff>
                  </from>
                  <to>
                    <xdr:col>19</xdr:col>
                    <xdr:colOff>723900</xdr:colOff>
                    <xdr:row>55</xdr:row>
                    <xdr:rowOff>57150</xdr:rowOff>
                  </to>
                </anchor>
              </controlPr>
            </control>
          </mc:Choice>
        </mc:AlternateContent>
        <mc:AlternateContent xmlns:mc="http://schemas.openxmlformats.org/markup-compatibility/2006">
          <mc:Choice Requires="x14">
            <control shapeId="85017" r:id="rId26" name="Option Button 25">
              <controlPr defaultSize="0" autoFill="0" autoLine="0" autoPict="0">
                <anchor moveWithCells="1">
                  <from>
                    <xdr:col>14</xdr:col>
                    <xdr:colOff>219075</xdr:colOff>
                    <xdr:row>49</xdr:row>
                    <xdr:rowOff>95250</xdr:rowOff>
                  </from>
                  <to>
                    <xdr:col>15</xdr:col>
                    <xdr:colOff>457200</xdr:colOff>
                    <xdr:row>50</xdr:row>
                    <xdr:rowOff>133350</xdr:rowOff>
                  </to>
                </anchor>
              </controlPr>
            </control>
          </mc:Choice>
        </mc:AlternateContent>
        <mc:AlternateContent xmlns:mc="http://schemas.openxmlformats.org/markup-compatibility/2006">
          <mc:Choice Requires="x14">
            <control shapeId="85018" r:id="rId27" name="Option Button 26">
              <controlPr defaultSize="0" autoFill="0" autoLine="0" autoPict="0">
                <anchor moveWithCells="1">
                  <from>
                    <xdr:col>16</xdr:col>
                    <xdr:colOff>38100</xdr:colOff>
                    <xdr:row>49</xdr:row>
                    <xdr:rowOff>95250</xdr:rowOff>
                  </from>
                  <to>
                    <xdr:col>17</xdr:col>
                    <xdr:colOff>276225</xdr:colOff>
                    <xdr:row>50</xdr:row>
                    <xdr:rowOff>133350</xdr:rowOff>
                  </to>
                </anchor>
              </controlPr>
            </control>
          </mc:Choice>
        </mc:AlternateContent>
        <mc:AlternateContent xmlns:mc="http://schemas.openxmlformats.org/markup-compatibility/2006">
          <mc:Choice Requires="x14">
            <control shapeId="85019" r:id="rId28" name="Option Button 27">
              <controlPr defaultSize="0" autoFill="0" autoLine="0" autoPict="0">
                <anchor moveWithCells="1">
                  <from>
                    <xdr:col>17</xdr:col>
                    <xdr:colOff>704850</xdr:colOff>
                    <xdr:row>49</xdr:row>
                    <xdr:rowOff>95250</xdr:rowOff>
                  </from>
                  <to>
                    <xdr:col>19</xdr:col>
                    <xdr:colOff>704850</xdr:colOff>
                    <xdr:row>50</xdr:row>
                    <xdr:rowOff>133350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Regneark</vt:lpstr>
      </vt:variant>
      <vt:variant>
        <vt:i4>5</vt:i4>
      </vt:variant>
      <vt:variant>
        <vt:lpstr>Navngitte områder</vt:lpstr>
      </vt:variant>
      <vt:variant>
        <vt:i4>4</vt:i4>
      </vt:variant>
    </vt:vector>
  </HeadingPairs>
  <TitlesOfParts>
    <vt:vector size="9" baseType="lpstr">
      <vt:lpstr>Info</vt:lpstr>
      <vt:lpstr>Innstillinger</vt:lpstr>
      <vt:lpstr>Regnskap</vt:lpstr>
      <vt:lpstr>Nøkkeltall</vt:lpstr>
      <vt:lpstr>Grafer</vt:lpstr>
      <vt:lpstr>Firmanavn</vt:lpstr>
      <vt:lpstr>Merverdiavgift</vt:lpstr>
      <vt:lpstr>StartÅr</vt:lpstr>
      <vt:lpstr>Utfyllingsmodus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2017-05-31T19:00:25Z</cp:lastPrinted>
  <dcterms:created xsi:type="dcterms:W3CDTF">2012-09-26T11:38:41Z</dcterms:created>
  <dcterms:modified xsi:type="dcterms:W3CDTF">2020-08-11T06:18:29Z</dcterms:modified>
</cp:coreProperties>
</file>