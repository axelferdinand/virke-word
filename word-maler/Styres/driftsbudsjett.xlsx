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rke.sharepoint.com/sites/StyreNorge20Prosjektmedsamarbeidspartnere/Shared Documents/Innhold og struktur/Skjema klar for publisering/"/>
    </mc:Choice>
  </mc:AlternateContent>
  <xr:revisionPtr revIDLastSave="0" documentId="8_{5F4C0789-477C-4C7B-AF97-5948F83B88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C10" i="1"/>
  <c r="C44" i="1" s="1"/>
  <c r="O44" i="1" s="1"/>
  <c r="D10" i="1"/>
  <c r="D44" i="1" s="1"/>
  <c r="D42" i="1"/>
  <c r="E10" i="1"/>
  <c r="E44" i="1" s="1"/>
  <c r="F10" i="1"/>
  <c r="F42" i="1"/>
  <c r="F44" i="1" s="1"/>
  <c r="G10" i="1"/>
  <c r="G44" i="1" s="1"/>
  <c r="H10" i="1"/>
  <c r="I10" i="1"/>
  <c r="J10" i="1"/>
  <c r="J44" i="1" s="1"/>
  <c r="J42" i="1"/>
  <c r="K10" i="1"/>
  <c r="L10" i="1"/>
  <c r="L44" i="1" s="1"/>
  <c r="L42" i="1"/>
  <c r="M10" i="1"/>
  <c r="M42" i="1"/>
  <c r="M44" i="1"/>
  <c r="N10" i="1"/>
  <c r="O13" i="1"/>
  <c r="O14" i="1"/>
  <c r="O15" i="1"/>
  <c r="O29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O34" i="1"/>
  <c r="O35" i="1"/>
  <c r="O36" i="1"/>
  <c r="O37" i="1"/>
  <c r="O38" i="1"/>
  <c r="O39" i="1"/>
  <c r="O40" i="1"/>
  <c r="O41" i="1"/>
  <c r="C42" i="1"/>
  <c r="O42" i="1" s="1"/>
  <c r="E42" i="1"/>
  <c r="G42" i="1"/>
  <c r="H42" i="1"/>
  <c r="H44" i="1" s="1"/>
  <c r="I42" i="1"/>
  <c r="I44" i="1" s="1"/>
  <c r="K42" i="1"/>
  <c r="N42" i="1"/>
  <c r="N44" i="1"/>
  <c r="K44" i="1"/>
  <c r="O10" i="1"/>
</calcChain>
</file>

<file path=xl/sharedStrings.xml><?xml version="1.0" encoding="utf-8"?>
<sst xmlns="http://schemas.openxmlformats.org/spreadsheetml/2006/main" count="54" uniqueCount="54">
  <si>
    <t>Finansinntekter (renter)</t>
  </si>
  <si>
    <t>Driftsinntekter</t>
  </si>
  <si>
    <t>Feb</t>
  </si>
  <si>
    <t>Tekst</t>
  </si>
  <si>
    <t xml:space="preserve">Reparasjon/vedlikehold </t>
  </si>
  <si>
    <t>Frakt/transport</t>
  </si>
  <si>
    <t>Diverse kostnader</t>
  </si>
  <si>
    <t>Driftskostnader</t>
  </si>
  <si>
    <t>Telefon</t>
  </si>
  <si>
    <t>Jun</t>
  </si>
  <si>
    <t>Andre fremmede tjenester</t>
  </si>
  <si>
    <t>Leie maskiner/inventar</t>
  </si>
  <si>
    <t>Avskrivninger varige driftsmidler</t>
  </si>
  <si>
    <t>Lønn og andre personalkostnader</t>
  </si>
  <si>
    <t>Leie transportmidler</t>
  </si>
  <si>
    <t>Finanskostnader (renter)</t>
  </si>
  <si>
    <t>Jul</t>
  </si>
  <si>
    <t>Revisjon</t>
  </si>
  <si>
    <t>Jan</t>
  </si>
  <si>
    <t>Tap på kundefordringer</t>
  </si>
  <si>
    <t>Nov</t>
  </si>
  <si>
    <t>Reisekostnader</t>
  </si>
  <si>
    <t>Sum driftsinntekter</t>
  </si>
  <si>
    <t>Sum</t>
  </si>
  <si>
    <t>Aug</t>
  </si>
  <si>
    <t>Okt</t>
  </si>
  <si>
    <t>Representasjon</t>
  </si>
  <si>
    <t>Strøm</t>
  </si>
  <si>
    <t>Salgsinntekter, avgiftspliktig</t>
  </si>
  <si>
    <t>Mai</t>
  </si>
  <si>
    <t>Overskudd/underskudd</t>
  </si>
  <si>
    <t>Andre inntekter</t>
  </si>
  <si>
    <t>Rep/vedlikehold kjøretøy</t>
  </si>
  <si>
    <t>Porto</t>
  </si>
  <si>
    <t>Kilometerkostnader</t>
  </si>
  <si>
    <t>Sum kostnader</t>
  </si>
  <si>
    <t>Budsjettår</t>
  </si>
  <si>
    <t>Des</t>
  </si>
  <si>
    <t>Firma</t>
  </si>
  <si>
    <t>Diettkostnader</t>
  </si>
  <si>
    <t>Husleie</t>
  </si>
  <si>
    <t>Renhold</t>
  </si>
  <si>
    <t>Drivstoff</t>
  </si>
  <si>
    <t>Sep</t>
  </si>
  <si>
    <t>Forsikring/avgifter kjøretøy</t>
  </si>
  <si>
    <t>Mars</t>
  </si>
  <si>
    <t>Kontorrekvisita</t>
  </si>
  <si>
    <t>Regnskapsføring</t>
  </si>
  <si>
    <t>Varekostnader</t>
  </si>
  <si>
    <t>Apr</t>
  </si>
  <si>
    <t>Forsikringer/garantier</t>
  </si>
  <si>
    <t>Annonsering/reklame</t>
  </si>
  <si>
    <t>Konto</t>
  </si>
  <si>
    <t>DRIFTSBUDSJETT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</si>
</sst>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 tint="-0.14999847407452621"/>
        <b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right" vertical="center" wrapText="1"/>
    </xf>
    <xf numFmtId="0" fontId="0" fillId="0" borderId="0" xfId="0" applyFont="1"/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top"/>
    </xf>
    <xf numFmtId="3" fontId="2" fillId="3" borderId="1" xfId="0" applyNumberFormat="1" applyFont="1" applyFill="1" applyBorder="1" applyAlignment="1">
      <alignment horizontal="righ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top"/>
    </xf>
    <xf numFmtId="3" fontId="2" fillId="2" borderId="3" xfId="0" applyNumberFormat="1" applyFont="1" applyFill="1" applyBorder="1" applyAlignment="1">
      <alignment horizontal="right" vertical="center" wrapText="1"/>
    </xf>
    <xf numFmtId="0" fontId="0" fillId="2" borderId="3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4"/>
  <sheetViews>
    <sheetView tabSelected="1" topLeftCell="B3" zoomScaleNormal="100" workbookViewId="0">
      <selection activeCell="A42" sqref="A42:B42"/>
    </sheetView>
  </sheetViews>
  <sheetFormatPr baseColWidth="10" defaultColWidth="9.140625" defaultRowHeight="12.75" x14ac:dyDescent="0.2"/>
  <cols>
    <col min="1" max="1" width="24.42578125" style="4" customWidth="1"/>
    <col min="2" max="2" width="33.7109375" style="4" customWidth="1"/>
    <col min="3" max="15" width="16.42578125" style="4" customWidth="1"/>
    <col min="16" max="16384" width="9.140625" style="4"/>
  </cols>
  <sheetData>
    <row r="1" spans="1:15" ht="24.2" customHeight="1" x14ac:dyDescent="0.2">
      <c r="A1" s="20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9.1999999999999993" customHeight="1" x14ac:dyDescent="0.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9.7" customHeight="1" x14ac:dyDescent="0.2">
      <c r="A3" s="22" t="s">
        <v>38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22" t="s">
        <v>36</v>
      </c>
      <c r="O3" s="12"/>
    </row>
    <row r="4" spans="1:15" ht="9.1999999999999993" customHeight="1" x14ac:dyDescent="0.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27" customFormat="1" ht="22.7" customHeight="1" x14ac:dyDescent="0.25">
      <c r="A5" s="25" t="s">
        <v>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5" ht="18.95" customHeight="1" x14ac:dyDescent="0.2">
      <c r="A6" s="23" t="s">
        <v>52</v>
      </c>
      <c r="B6" s="23" t="s">
        <v>3</v>
      </c>
      <c r="C6" s="24" t="s">
        <v>18</v>
      </c>
      <c r="D6" s="24" t="s">
        <v>2</v>
      </c>
      <c r="E6" s="24" t="s">
        <v>45</v>
      </c>
      <c r="F6" s="24" t="s">
        <v>49</v>
      </c>
      <c r="G6" s="24" t="s">
        <v>29</v>
      </c>
      <c r="H6" s="24" t="s">
        <v>9</v>
      </c>
      <c r="I6" s="24" t="s">
        <v>16</v>
      </c>
      <c r="J6" s="24" t="s">
        <v>24</v>
      </c>
      <c r="K6" s="24" t="s">
        <v>43</v>
      </c>
      <c r="L6" s="24" t="s">
        <v>25</v>
      </c>
      <c r="M6" s="24" t="s">
        <v>20</v>
      </c>
      <c r="N6" s="24" t="s">
        <v>37</v>
      </c>
      <c r="O6" s="24" t="s">
        <v>23</v>
      </c>
    </row>
    <row r="7" spans="1:15" ht="22.7" customHeight="1" x14ac:dyDescent="0.2">
      <c r="A7" s="2"/>
      <c r="B7" s="2" t="s">
        <v>28</v>
      </c>
      <c r="C7" s="13">
        <v>700000</v>
      </c>
      <c r="D7" s="13">
        <v>600000</v>
      </c>
      <c r="E7" s="13">
        <v>500000</v>
      </c>
      <c r="F7" s="13">
        <v>500000</v>
      </c>
      <c r="G7" s="13">
        <v>600000</v>
      </c>
      <c r="H7" s="13">
        <v>600000</v>
      </c>
      <c r="I7" s="13">
        <v>450000</v>
      </c>
      <c r="J7" s="13">
        <v>800000</v>
      </c>
      <c r="K7" s="13">
        <v>600000</v>
      </c>
      <c r="L7" s="13">
        <v>500000</v>
      </c>
      <c r="M7" s="13">
        <v>700000</v>
      </c>
      <c r="N7" s="13">
        <v>600000</v>
      </c>
      <c r="O7" s="14">
        <f>SUM(C7:N7)</f>
        <v>7150000</v>
      </c>
    </row>
    <row r="8" spans="1:15" ht="22.7" customHeight="1" x14ac:dyDescent="0.2">
      <c r="A8" s="2"/>
      <c r="B8" s="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>
        <f>SUM(C8:N8)</f>
        <v>0</v>
      </c>
    </row>
    <row r="9" spans="1:15" ht="22.7" customHeight="1" x14ac:dyDescent="0.2">
      <c r="A9" s="2"/>
      <c r="B9" s="2" t="s">
        <v>31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>
        <f>SUM(C9:N9)</f>
        <v>0</v>
      </c>
    </row>
    <row r="10" spans="1:15" ht="22.7" customHeight="1" x14ac:dyDescent="0.2">
      <c r="A10" s="5" t="s">
        <v>22</v>
      </c>
      <c r="B10" s="6"/>
      <c r="C10" s="15">
        <f t="shared" ref="C10:N10" si="0">SUM(C7:C9)</f>
        <v>700000</v>
      </c>
      <c r="D10" s="15">
        <f t="shared" si="0"/>
        <v>600000</v>
      </c>
      <c r="E10" s="15">
        <f t="shared" si="0"/>
        <v>500000</v>
      </c>
      <c r="F10" s="15">
        <f t="shared" si="0"/>
        <v>500000</v>
      </c>
      <c r="G10" s="15">
        <f t="shared" si="0"/>
        <v>600000</v>
      </c>
      <c r="H10" s="15">
        <f t="shared" si="0"/>
        <v>600000</v>
      </c>
      <c r="I10" s="15">
        <f t="shared" si="0"/>
        <v>450000</v>
      </c>
      <c r="J10" s="15">
        <f t="shared" si="0"/>
        <v>800000</v>
      </c>
      <c r="K10" s="15">
        <f t="shared" si="0"/>
        <v>600000</v>
      </c>
      <c r="L10" s="15">
        <f t="shared" si="0"/>
        <v>500000</v>
      </c>
      <c r="M10" s="15">
        <f t="shared" si="0"/>
        <v>700000</v>
      </c>
      <c r="N10" s="15">
        <f t="shared" si="0"/>
        <v>600000</v>
      </c>
      <c r="O10" s="15">
        <f>SUM(C10:N10)</f>
        <v>7150000</v>
      </c>
    </row>
    <row r="11" spans="1:15" ht="10.7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s="27" customFormat="1" ht="21.95" customHeight="1" x14ac:dyDescent="0.25">
      <c r="A12" s="25" t="s">
        <v>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ht="22.7" customHeight="1" x14ac:dyDescent="0.2">
      <c r="A13" s="1"/>
      <c r="B13" s="2" t="s">
        <v>48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ref="O13:O42" si="1">SUM(C13:N13)</f>
        <v>0</v>
      </c>
    </row>
    <row r="14" spans="1:15" ht="22.7" customHeight="1" x14ac:dyDescent="0.2">
      <c r="A14" s="1"/>
      <c r="B14" s="2" t="s">
        <v>13</v>
      </c>
      <c r="C14" s="3"/>
      <c r="D14" s="3"/>
      <c r="E14" s="3">
        <v>325000</v>
      </c>
      <c r="F14" s="3">
        <v>325000</v>
      </c>
      <c r="G14" s="3">
        <v>325000</v>
      </c>
      <c r="H14" s="3">
        <v>325000</v>
      </c>
      <c r="I14" s="3">
        <v>325000</v>
      </c>
      <c r="J14" s="3">
        <v>325000</v>
      </c>
      <c r="K14" s="3">
        <v>325000</v>
      </c>
      <c r="L14" s="3">
        <v>325000</v>
      </c>
      <c r="M14" s="3">
        <v>325000</v>
      </c>
      <c r="N14" s="3">
        <v>325000</v>
      </c>
      <c r="O14" s="3">
        <f t="shared" si="1"/>
        <v>3250000</v>
      </c>
    </row>
    <row r="15" spans="1:15" ht="22.7" customHeight="1" x14ac:dyDescent="0.2">
      <c r="A15" s="1"/>
      <c r="B15" s="2" t="s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1"/>
        <v>0</v>
      </c>
    </row>
    <row r="16" spans="1:15" ht="22.7" customHeight="1" x14ac:dyDescent="0.2">
      <c r="A16" s="1"/>
      <c r="B16" s="2" t="s">
        <v>5</v>
      </c>
      <c r="C16" s="3"/>
      <c r="D16" s="3"/>
    </row>
    <row r="17" spans="1:15" ht="22.7" customHeight="1" x14ac:dyDescent="0.2">
      <c r="A17" s="1"/>
      <c r="B17" s="2" t="s">
        <v>40</v>
      </c>
      <c r="C17" s="3"/>
      <c r="D17" s="3"/>
      <c r="E17" s="3">
        <v>25000</v>
      </c>
      <c r="F17" s="3">
        <v>25000</v>
      </c>
      <c r="G17" s="3">
        <v>25000</v>
      </c>
      <c r="H17" s="3">
        <v>25000</v>
      </c>
      <c r="I17" s="3">
        <v>25000</v>
      </c>
      <c r="J17" s="3">
        <v>25000</v>
      </c>
      <c r="K17" s="3">
        <v>25000</v>
      </c>
      <c r="L17" s="3">
        <v>25000</v>
      </c>
      <c r="M17" s="3">
        <v>25000</v>
      </c>
      <c r="N17" s="3">
        <v>25000</v>
      </c>
      <c r="O17" s="3">
        <f t="shared" si="1"/>
        <v>250000</v>
      </c>
    </row>
    <row r="18" spans="1:15" ht="22.7" customHeight="1" x14ac:dyDescent="0.2">
      <c r="A18" s="1"/>
      <c r="B18" s="2" t="s">
        <v>27</v>
      </c>
      <c r="C18" s="3"/>
      <c r="D18" s="3"/>
      <c r="E18" s="3">
        <v>2000</v>
      </c>
      <c r="F18" s="3">
        <v>2000</v>
      </c>
      <c r="G18" s="3">
        <v>2000</v>
      </c>
      <c r="H18" s="3">
        <v>2000</v>
      </c>
      <c r="I18" s="3">
        <v>2000</v>
      </c>
      <c r="J18" s="3">
        <v>2000</v>
      </c>
      <c r="K18" s="3">
        <v>2000</v>
      </c>
      <c r="L18" s="3">
        <v>2000</v>
      </c>
      <c r="M18" s="3">
        <v>2000</v>
      </c>
      <c r="N18" s="3">
        <v>2000</v>
      </c>
      <c r="O18" s="3">
        <f t="shared" si="1"/>
        <v>20000</v>
      </c>
    </row>
    <row r="19" spans="1:15" ht="22.7" customHeight="1" x14ac:dyDescent="0.2">
      <c r="A19" s="1"/>
      <c r="B19" s="2" t="s">
        <v>41</v>
      </c>
      <c r="C19" s="3"/>
      <c r="D19" s="3"/>
      <c r="E19" s="3">
        <v>300</v>
      </c>
      <c r="F19" s="3">
        <v>300</v>
      </c>
      <c r="G19" s="3">
        <v>300</v>
      </c>
      <c r="H19" s="3">
        <v>300</v>
      </c>
      <c r="I19" s="3">
        <v>300</v>
      </c>
      <c r="J19" s="3">
        <v>300</v>
      </c>
      <c r="K19" s="3">
        <v>300</v>
      </c>
      <c r="L19" s="3">
        <v>300</v>
      </c>
      <c r="M19" s="3">
        <v>300</v>
      </c>
      <c r="N19" s="3">
        <v>300</v>
      </c>
      <c r="O19" s="3">
        <f t="shared" si="1"/>
        <v>3000</v>
      </c>
    </row>
    <row r="20" spans="1:15" ht="22.7" customHeight="1" x14ac:dyDescent="0.2">
      <c r="A20" s="1"/>
      <c r="B20" s="2" t="s">
        <v>11</v>
      </c>
      <c r="C20" s="3"/>
      <c r="D20" s="3"/>
      <c r="E20" s="3">
        <v>600</v>
      </c>
      <c r="F20" s="3">
        <v>600</v>
      </c>
      <c r="G20" s="3">
        <v>600</v>
      </c>
      <c r="H20" s="3">
        <v>600</v>
      </c>
      <c r="I20" s="3">
        <v>600</v>
      </c>
      <c r="J20" s="3">
        <v>600</v>
      </c>
      <c r="K20" s="3">
        <v>600</v>
      </c>
      <c r="L20" s="3">
        <v>600</v>
      </c>
      <c r="M20" s="3">
        <v>600</v>
      </c>
      <c r="N20" s="3">
        <v>600</v>
      </c>
      <c r="O20" s="3">
        <f t="shared" si="1"/>
        <v>6000</v>
      </c>
    </row>
    <row r="21" spans="1:15" ht="22.7" customHeight="1" x14ac:dyDescent="0.2">
      <c r="A21" s="1"/>
      <c r="B21" s="2" t="s">
        <v>14</v>
      </c>
      <c r="C21" s="3"/>
      <c r="D21" s="3"/>
      <c r="E21" s="3">
        <v>20000</v>
      </c>
      <c r="F21" s="3">
        <v>20000</v>
      </c>
      <c r="G21" s="3">
        <v>20000</v>
      </c>
      <c r="H21" s="3">
        <v>20000</v>
      </c>
      <c r="I21" s="3">
        <v>20000</v>
      </c>
      <c r="J21" s="3">
        <v>20000</v>
      </c>
      <c r="K21" s="3">
        <v>20000</v>
      </c>
      <c r="L21" s="3">
        <v>20000</v>
      </c>
      <c r="M21" s="3">
        <v>20000</v>
      </c>
      <c r="N21" s="3">
        <v>20000</v>
      </c>
      <c r="O21" s="3">
        <f t="shared" si="1"/>
        <v>200000</v>
      </c>
    </row>
    <row r="22" spans="1:15" ht="22.7" customHeight="1" x14ac:dyDescent="0.2">
      <c r="A22" s="1"/>
      <c r="B22" s="2" t="s">
        <v>4</v>
      </c>
      <c r="C22" s="3"/>
      <c r="D22" s="3"/>
      <c r="E22" s="3">
        <v>1000</v>
      </c>
      <c r="F22" s="3">
        <v>1000</v>
      </c>
      <c r="G22" s="3">
        <v>1000</v>
      </c>
      <c r="H22" s="3">
        <v>1000</v>
      </c>
      <c r="I22" s="3">
        <v>1000</v>
      </c>
      <c r="J22" s="3">
        <v>1000</v>
      </c>
      <c r="K22" s="3">
        <v>1000</v>
      </c>
      <c r="L22" s="3">
        <v>1000</v>
      </c>
      <c r="M22" s="3">
        <v>1000</v>
      </c>
      <c r="N22" s="3">
        <v>1000</v>
      </c>
      <c r="O22" s="3">
        <f t="shared" si="1"/>
        <v>10000</v>
      </c>
    </row>
    <row r="23" spans="1:15" ht="22.7" customHeight="1" x14ac:dyDescent="0.2">
      <c r="A23" s="1"/>
      <c r="B23" s="2" t="s">
        <v>47</v>
      </c>
      <c r="C23" s="3"/>
      <c r="D23" s="3"/>
      <c r="E23" s="3">
        <v>5000</v>
      </c>
      <c r="F23" s="3">
        <v>5000</v>
      </c>
      <c r="G23" s="3">
        <v>5000</v>
      </c>
      <c r="H23" s="3">
        <v>5000</v>
      </c>
      <c r="I23" s="3">
        <v>5000</v>
      </c>
      <c r="J23" s="3">
        <v>5000</v>
      </c>
      <c r="K23" s="3">
        <v>5000</v>
      </c>
      <c r="L23" s="3">
        <v>5000</v>
      </c>
      <c r="M23" s="3">
        <v>5000</v>
      </c>
      <c r="N23" s="3">
        <v>5000</v>
      </c>
      <c r="O23" s="3">
        <f t="shared" si="1"/>
        <v>50000</v>
      </c>
    </row>
    <row r="24" spans="1:15" ht="22.7" customHeight="1" x14ac:dyDescent="0.2">
      <c r="A24" s="1"/>
      <c r="B24" s="2" t="s">
        <v>17</v>
      </c>
      <c r="C24" s="3"/>
      <c r="D24" s="3"/>
      <c r="E24" s="3">
        <v>3000</v>
      </c>
      <c r="F24" s="3">
        <v>3000</v>
      </c>
      <c r="G24" s="3">
        <v>3000</v>
      </c>
      <c r="H24" s="3">
        <v>3000</v>
      </c>
      <c r="I24" s="3">
        <v>3000</v>
      </c>
      <c r="J24" s="3">
        <v>3000</v>
      </c>
      <c r="K24" s="3">
        <v>3000</v>
      </c>
      <c r="L24" s="3">
        <v>3000</v>
      </c>
      <c r="M24" s="3">
        <v>3000</v>
      </c>
      <c r="N24" s="3">
        <v>3000</v>
      </c>
      <c r="O24" s="3">
        <f t="shared" si="1"/>
        <v>30000</v>
      </c>
    </row>
    <row r="25" spans="1:15" ht="22.7" customHeight="1" x14ac:dyDescent="0.2">
      <c r="A25" s="1"/>
      <c r="B25" s="2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1"/>
        <v>0</v>
      </c>
    </row>
    <row r="26" spans="1:15" ht="22.7" customHeight="1" x14ac:dyDescent="0.2">
      <c r="A26" s="1"/>
      <c r="B26" s="2" t="s">
        <v>46</v>
      </c>
      <c r="C26" s="3"/>
      <c r="D26" s="3"/>
      <c r="E26" s="3">
        <v>500</v>
      </c>
      <c r="F26" s="3">
        <v>500</v>
      </c>
      <c r="G26" s="3">
        <v>500</v>
      </c>
      <c r="H26" s="3">
        <v>500</v>
      </c>
      <c r="I26" s="3">
        <v>500</v>
      </c>
      <c r="J26" s="3">
        <v>500</v>
      </c>
      <c r="K26" s="3">
        <v>500</v>
      </c>
      <c r="L26" s="3">
        <v>500</v>
      </c>
      <c r="M26" s="3">
        <v>500</v>
      </c>
      <c r="N26" s="3">
        <v>500</v>
      </c>
      <c r="O26" s="3">
        <f t="shared" si="1"/>
        <v>5000</v>
      </c>
    </row>
    <row r="27" spans="1:15" ht="22.7" customHeight="1" x14ac:dyDescent="0.2">
      <c r="A27" s="1"/>
      <c r="B27" s="2" t="s">
        <v>8</v>
      </c>
      <c r="C27" s="3"/>
      <c r="D27" s="3"/>
      <c r="E27" s="3">
        <v>3000</v>
      </c>
      <c r="F27" s="3">
        <v>3000</v>
      </c>
      <c r="G27" s="3">
        <v>3000</v>
      </c>
      <c r="H27" s="3">
        <v>3000</v>
      </c>
      <c r="I27" s="3">
        <v>3000</v>
      </c>
      <c r="J27" s="3">
        <v>3000</v>
      </c>
      <c r="K27" s="3">
        <v>3000</v>
      </c>
      <c r="L27" s="3">
        <v>3000</v>
      </c>
      <c r="M27" s="3">
        <v>3000</v>
      </c>
      <c r="N27" s="3">
        <v>3000</v>
      </c>
      <c r="O27" s="3">
        <f t="shared" si="1"/>
        <v>30000</v>
      </c>
    </row>
    <row r="28" spans="1:15" ht="22.7" customHeight="1" x14ac:dyDescent="0.2">
      <c r="A28" s="1"/>
      <c r="B28" s="2" t="s">
        <v>33</v>
      </c>
      <c r="C28" s="3"/>
      <c r="D28" s="3"/>
      <c r="E28" s="3">
        <v>200</v>
      </c>
      <c r="F28" s="3">
        <v>200</v>
      </c>
      <c r="G28" s="3">
        <v>200</v>
      </c>
      <c r="H28" s="3">
        <v>200</v>
      </c>
      <c r="I28" s="3">
        <v>200</v>
      </c>
      <c r="J28" s="3">
        <v>200</v>
      </c>
      <c r="K28" s="3">
        <v>200</v>
      </c>
      <c r="L28" s="3">
        <v>200</v>
      </c>
      <c r="M28" s="3">
        <v>200</v>
      </c>
      <c r="N28" s="3">
        <v>200</v>
      </c>
      <c r="O28" s="3">
        <f t="shared" si="1"/>
        <v>2000</v>
      </c>
    </row>
    <row r="29" spans="1:15" ht="22.7" customHeight="1" x14ac:dyDescent="0.2">
      <c r="A29" s="1"/>
      <c r="B29" s="2" t="s">
        <v>42</v>
      </c>
      <c r="C29" s="3"/>
      <c r="D29" s="3"/>
      <c r="E29" s="3">
        <v>20000</v>
      </c>
      <c r="F29" s="3">
        <v>20000</v>
      </c>
      <c r="G29" s="3">
        <v>20000</v>
      </c>
      <c r="H29" s="3">
        <v>20000</v>
      </c>
      <c r="I29" s="3">
        <v>20000</v>
      </c>
      <c r="J29" s="3">
        <v>20000</v>
      </c>
      <c r="K29" s="3">
        <v>20000</v>
      </c>
      <c r="L29" s="3">
        <v>20000</v>
      </c>
      <c r="M29" s="3">
        <v>20000</v>
      </c>
      <c r="N29" s="3">
        <v>20000</v>
      </c>
      <c r="O29" s="3">
        <f>SUM(C16:N16)</f>
        <v>0</v>
      </c>
    </row>
    <row r="30" spans="1:15" ht="22.7" customHeight="1" x14ac:dyDescent="0.2">
      <c r="A30" s="1"/>
      <c r="B30" s="2" t="s">
        <v>32</v>
      </c>
      <c r="C30" s="3"/>
      <c r="D30" s="3"/>
      <c r="E30" s="3">
        <v>2000</v>
      </c>
      <c r="F30" s="3">
        <v>2000</v>
      </c>
      <c r="G30" s="3">
        <v>2000</v>
      </c>
      <c r="H30" s="3">
        <v>2000</v>
      </c>
      <c r="I30" s="3">
        <v>2000</v>
      </c>
      <c r="J30" s="3">
        <v>2000</v>
      </c>
      <c r="K30" s="3">
        <v>2000</v>
      </c>
      <c r="L30" s="3">
        <v>2000</v>
      </c>
      <c r="M30" s="3">
        <v>2000</v>
      </c>
      <c r="N30" s="3">
        <v>2000</v>
      </c>
      <c r="O30" s="3">
        <f t="shared" si="1"/>
        <v>20000</v>
      </c>
    </row>
    <row r="31" spans="1:15" ht="22.7" customHeight="1" x14ac:dyDescent="0.2">
      <c r="A31" s="1"/>
      <c r="B31" s="2" t="s">
        <v>44</v>
      </c>
      <c r="C31" s="3"/>
      <c r="D31" s="3"/>
      <c r="E31" s="3">
        <v>8000</v>
      </c>
      <c r="F31" s="3">
        <v>8000</v>
      </c>
      <c r="G31" s="3">
        <v>8000</v>
      </c>
      <c r="H31" s="3">
        <v>8000</v>
      </c>
      <c r="I31" s="3">
        <v>8000</v>
      </c>
      <c r="J31" s="3">
        <v>8000</v>
      </c>
      <c r="K31" s="3">
        <v>8000</v>
      </c>
      <c r="L31" s="3">
        <v>8000</v>
      </c>
      <c r="M31" s="3">
        <v>8000</v>
      </c>
      <c r="N31" s="3">
        <v>8000</v>
      </c>
      <c r="O31" s="3">
        <f t="shared" si="1"/>
        <v>80000</v>
      </c>
    </row>
    <row r="32" spans="1:15" ht="22.7" customHeight="1" x14ac:dyDescent="0.2">
      <c r="A32" s="1"/>
      <c r="B32" s="2" t="s">
        <v>21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1"/>
        <v>0</v>
      </c>
    </row>
    <row r="33" spans="1:15" ht="22.7" customHeight="1" x14ac:dyDescent="0.2">
      <c r="A33" s="1"/>
      <c r="B33" s="2" t="s">
        <v>39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1"/>
        <v>0</v>
      </c>
    </row>
    <row r="34" spans="1:15" ht="22.7" customHeight="1" x14ac:dyDescent="0.2">
      <c r="A34" s="1"/>
      <c r="B34" s="2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1"/>
        <v>0</v>
      </c>
    </row>
    <row r="35" spans="1:15" ht="22.7" customHeight="1" x14ac:dyDescent="0.2">
      <c r="A35" s="1"/>
      <c r="B35" s="2" t="s">
        <v>51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1"/>
        <v>0</v>
      </c>
    </row>
    <row r="36" spans="1:15" ht="22.7" customHeight="1" x14ac:dyDescent="0.2">
      <c r="A36" s="1"/>
      <c r="B36" s="2" t="s">
        <v>26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1"/>
        <v>0</v>
      </c>
    </row>
    <row r="37" spans="1:15" ht="22.7" customHeight="1" x14ac:dyDescent="0.2">
      <c r="A37" s="1"/>
      <c r="B37" s="2" t="s">
        <v>50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1"/>
        <v>0</v>
      </c>
    </row>
    <row r="38" spans="1:15" ht="22.7" customHeight="1" x14ac:dyDescent="0.2">
      <c r="A38" s="1"/>
      <c r="B38" s="2" t="s">
        <v>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1"/>
        <v>0</v>
      </c>
    </row>
    <row r="39" spans="1:15" ht="22.7" customHeight="1" x14ac:dyDescent="0.2">
      <c r="A39" s="1"/>
      <c r="B39" s="2" t="s">
        <v>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1"/>
        <v>0</v>
      </c>
    </row>
    <row r="40" spans="1:15" ht="22.7" customHeight="1" x14ac:dyDescent="0.2">
      <c r="A40" s="1"/>
      <c r="B40" s="2" t="s">
        <v>15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1"/>
        <v>0</v>
      </c>
    </row>
    <row r="41" spans="1:15" ht="22.7" customHeight="1" x14ac:dyDescent="0.2">
      <c r="A41" s="1"/>
      <c r="B41" s="2" t="s"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1"/>
        <v>0</v>
      </c>
    </row>
    <row r="42" spans="1:15" ht="22.7" customHeight="1" x14ac:dyDescent="0.2">
      <c r="A42" s="5" t="s">
        <v>35</v>
      </c>
      <c r="B42" s="6"/>
      <c r="C42" s="7">
        <f t="shared" ref="C42:N42" si="2">SUM(C13:C40)-C41</f>
        <v>0</v>
      </c>
      <c r="D42" s="7">
        <f t="shared" si="2"/>
        <v>0</v>
      </c>
      <c r="E42" s="7">
        <f t="shared" si="2"/>
        <v>415600</v>
      </c>
      <c r="F42" s="7">
        <f t="shared" si="2"/>
        <v>415600</v>
      </c>
      <c r="G42" s="7">
        <f t="shared" si="2"/>
        <v>415600</v>
      </c>
      <c r="H42" s="7">
        <f t="shared" si="2"/>
        <v>415600</v>
      </c>
      <c r="I42" s="7">
        <f t="shared" si="2"/>
        <v>415600</v>
      </c>
      <c r="J42" s="7">
        <f t="shared" si="2"/>
        <v>415600</v>
      </c>
      <c r="K42" s="7">
        <f t="shared" si="2"/>
        <v>415600</v>
      </c>
      <c r="L42" s="7">
        <f t="shared" si="2"/>
        <v>415600</v>
      </c>
      <c r="M42" s="7">
        <f t="shared" si="2"/>
        <v>415600</v>
      </c>
      <c r="N42" s="7">
        <f t="shared" si="2"/>
        <v>415600</v>
      </c>
      <c r="O42" s="7">
        <f t="shared" si="1"/>
        <v>4156000</v>
      </c>
    </row>
    <row r="43" spans="1:15" ht="6.95" customHeight="1" x14ac:dyDescent="0.2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1:15" ht="22.7" customHeight="1" x14ac:dyDescent="0.2">
      <c r="A44" s="5" t="s">
        <v>30</v>
      </c>
      <c r="B44" s="6"/>
      <c r="C44" s="7">
        <f t="shared" ref="C44:N44" si="3">+C10-C42</f>
        <v>700000</v>
      </c>
      <c r="D44" s="7">
        <f t="shared" si="3"/>
        <v>600000</v>
      </c>
      <c r="E44" s="7">
        <f t="shared" si="3"/>
        <v>84400</v>
      </c>
      <c r="F44" s="7">
        <f t="shared" si="3"/>
        <v>84400</v>
      </c>
      <c r="G44" s="7">
        <f t="shared" si="3"/>
        <v>184400</v>
      </c>
      <c r="H44" s="7">
        <f t="shared" si="3"/>
        <v>184400</v>
      </c>
      <c r="I44" s="7">
        <f t="shared" si="3"/>
        <v>34400</v>
      </c>
      <c r="J44" s="7">
        <f t="shared" si="3"/>
        <v>384400</v>
      </c>
      <c r="K44" s="7">
        <f t="shared" si="3"/>
        <v>184400</v>
      </c>
      <c r="L44" s="7">
        <f t="shared" si="3"/>
        <v>84400</v>
      </c>
      <c r="M44" s="7">
        <f t="shared" si="3"/>
        <v>284400</v>
      </c>
      <c r="N44" s="7">
        <f t="shared" si="3"/>
        <v>184400</v>
      </c>
      <c r="O44" s="7">
        <f>SUM(C44:N44)</f>
        <v>2994000</v>
      </c>
    </row>
  </sheetData>
  <mergeCells count="11">
    <mergeCell ref="A1:O1"/>
    <mergeCell ref="A2:O2"/>
    <mergeCell ref="A4:O4"/>
    <mergeCell ref="A5:O5"/>
    <mergeCell ref="A43:O43"/>
    <mergeCell ref="A44:B44"/>
    <mergeCell ref="B3:M3"/>
    <mergeCell ref="A10:B10"/>
    <mergeCell ref="A11:O11"/>
    <mergeCell ref="A12:O12"/>
    <mergeCell ref="A42:B42"/>
  </mergeCells>
  <phoneticPr fontId="1" type="noConversion"/>
  <pageMargins left="0" right="0" top="0" bottom="0" header="0.5" footer="0.5"/>
  <pageSetup paperSize="9" scale="5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DA402D98CF7C41A7C34EAD3CFDA427" ma:contentTypeVersion="10" ma:contentTypeDescription="Opprett et nytt dokument." ma:contentTypeScope="" ma:versionID="6ee4be0559a8b28d704165c5250ee880">
  <xsd:schema xmlns:xsd="http://www.w3.org/2001/XMLSchema" xmlns:xs="http://www.w3.org/2001/XMLSchema" xmlns:p="http://schemas.microsoft.com/office/2006/metadata/properties" xmlns:ns2="aaa91121-71f7-40ee-8646-56660feff075" targetNamespace="http://schemas.microsoft.com/office/2006/metadata/properties" ma:root="true" ma:fieldsID="4cc13865e564766ca743f091ed3a8662" ns2:_="">
    <xsd:import namespace="aaa91121-71f7-40ee-8646-56660feff0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91121-71f7-40ee-8646-56660feff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14353E-8C3F-4F6A-B3ED-CBDCF0071CC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56F1FDF-2BC0-4546-B47D-192B85781610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aa91121-71f7-40ee-8646-56660feff075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D8B02A-A2F5-43D4-AEF8-F2A054DE5B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5A165F-D548-417D-ADD5-8870BC86EB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Driftsbudsjett</dc:title>
  <dc:creator>Jannicke Lundgaard</dc:creator>
  <cp:lastModifiedBy>Didrik Wilhelmsen Dahle</cp:lastModifiedBy>
  <cp:lastPrinted>2007-09-05T19:00:41Z</cp:lastPrinted>
  <dcterms:created xsi:type="dcterms:W3CDTF">2007-09-05T18:59:18Z</dcterms:created>
  <dcterms:modified xsi:type="dcterms:W3CDTF">2020-05-27T08:49:44Z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irkeDefaultSpråktre">
    <vt:lpwstr>18;#Budsjett|05065764-9220-4a96-b77d-aa7c8b8842df;#19;#Økonomi|e2fa8ac0-21da-4d6a-9ce7-8e19bddb5e65</vt:lpwstr>
  </property>
  <property fmtid="{D5CDD505-2E9C-101B-9397-08002B2CF9AE}" pid="3" name="ContentTypeId">
    <vt:lpwstr>0x010100E0DA402D98CF7C41A7C34EAD3CFDA427</vt:lpwstr>
  </property>
</Properties>
</file>