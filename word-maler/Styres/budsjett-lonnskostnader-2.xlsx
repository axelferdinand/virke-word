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rke.sharepoint.com/sites/StyreNorge20Prosjektmedsamarbeidspartnere/Shared Documents/Innhold og struktur/Skjema klar for publisering/"/>
    </mc:Choice>
  </mc:AlternateContent>
  <xr:revisionPtr revIDLastSave="2" documentId="8_{52B70697-46CF-46D1-A41F-C309FB00E699}" xr6:coauthVersionLast="45" xr6:coauthVersionMax="45" xr10:uidLastSave="{64EBB54F-2989-4ED7-80B1-97118D2ECA2F}"/>
  <bookViews>
    <workbookView xWindow="-120" yWindow="-120" windowWidth="29040" windowHeight="15840" xr2:uid="{00000000-000D-0000-FFFF-FFFF00000000}"/>
  </bookViews>
  <sheets>
    <sheet name="Lønn" sheetId="7" r:id="rId1"/>
    <sheet name="Kostnadsspes." sheetId="6" r:id="rId2"/>
    <sheet name="Res." sheetId="2" r:id="rId3"/>
  </sheets>
  <definedNames>
    <definedName name="_xlnm.Print_Titles" localSheetId="1">Kostnadsspes.!$5:$6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" l="1"/>
  <c r="E4" i="7" l="1"/>
  <c r="C43" i="6" l="1"/>
  <c r="D43" i="6"/>
  <c r="D44" i="6"/>
  <c r="D45" i="6"/>
  <c r="E43" i="6"/>
  <c r="E44" i="6"/>
  <c r="E45" i="6"/>
  <c r="F43" i="6"/>
  <c r="F72" i="6" s="1"/>
  <c r="G43" i="6"/>
  <c r="H43" i="6"/>
  <c r="H44" i="6"/>
  <c r="H45" i="6"/>
  <c r="I43" i="6"/>
  <c r="I44" i="6"/>
  <c r="I45" i="6"/>
  <c r="J43" i="6"/>
  <c r="K43" i="6"/>
  <c r="L43" i="6"/>
  <c r="L44" i="6"/>
  <c r="L45" i="6"/>
  <c r="M19" i="2" s="1"/>
  <c r="M43" i="6"/>
  <c r="M44" i="6"/>
  <c r="M45" i="6"/>
  <c r="C44" i="6"/>
  <c r="F44" i="6"/>
  <c r="F45" i="6"/>
  <c r="G44" i="6"/>
  <c r="J44" i="6"/>
  <c r="J45" i="6"/>
  <c r="K44" i="6"/>
  <c r="C45" i="6"/>
  <c r="G45" i="6"/>
  <c r="K45" i="6"/>
  <c r="B45" i="6"/>
  <c r="B44" i="6"/>
  <c r="B43" i="6"/>
  <c r="C12" i="7"/>
  <c r="C13" i="7"/>
  <c r="D12" i="7"/>
  <c r="D14" i="7" s="1"/>
  <c r="D13" i="7"/>
  <c r="E12" i="7"/>
  <c r="E14" i="7" s="1"/>
  <c r="E16" i="7" s="1"/>
  <c r="E18" i="7" s="1"/>
  <c r="E13" i="7"/>
  <c r="F12" i="7"/>
  <c r="F13" i="7"/>
  <c r="G12" i="7"/>
  <c r="G13" i="7"/>
  <c r="G14" i="7"/>
  <c r="H12" i="7"/>
  <c r="H13" i="7"/>
  <c r="H14" i="7"/>
  <c r="I12" i="7"/>
  <c r="I13" i="7"/>
  <c r="I14" i="7"/>
  <c r="J12" i="7"/>
  <c r="J14" i="7" s="1"/>
  <c r="J13" i="7"/>
  <c r="K12" i="7"/>
  <c r="K14" i="7" s="1"/>
  <c r="K13" i="7"/>
  <c r="L12" i="7"/>
  <c r="L14" i="7" s="1"/>
  <c r="L13" i="7"/>
  <c r="M12" i="7"/>
  <c r="M14" i="7" s="1"/>
  <c r="M13" i="7"/>
  <c r="B12" i="7"/>
  <c r="B13" i="7"/>
  <c r="N76" i="6"/>
  <c r="N77" i="6"/>
  <c r="N78" i="6"/>
  <c r="N79" i="6"/>
  <c r="N80" i="6"/>
  <c r="C6" i="6"/>
  <c r="C8" i="6" s="1"/>
  <c r="C14" i="6"/>
  <c r="D6" i="6"/>
  <c r="D14" i="6"/>
  <c r="E6" i="6"/>
  <c r="E8" i="6" s="1"/>
  <c r="F4" i="2" s="1"/>
  <c r="F5" i="2" s="1"/>
  <c r="E14" i="6"/>
  <c r="F6" i="6"/>
  <c r="F13" i="6" s="1"/>
  <c r="F8" i="6"/>
  <c r="G4" i="2" s="1"/>
  <c r="G5" i="2" s="1"/>
  <c r="F14" i="6"/>
  <c r="G6" i="6"/>
  <c r="G13" i="6" s="1"/>
  <c r="G14" i="6"/>
  <c r="H6" i="6"/>
  <c r="H13" i="6" s="1"/>
  <c r="H15" i="6" s="1"/>
  <c r="I8" i="2" s="1"/>
  <c r="I9" i="2" s="1"/>
  <c r="H14" i="6"/>
  <c r="I6" i="6"/>
  <c r="I14" i="6"/>
  <c r="J6" i="6"/>
  <c r="J8" i="6" s="1"/>
  <c r="K4" i="2" s="1"/>
  <c r="K5" i="2" s="1"/>
  <c r="J14" i="6"/>
  <c r="K6" i="6"/>
  <c r="K8" i="6" s="1"/>
  <c r="K14" i="6"/>
  <c r="L6" i="6"/>
  <c r="L14" i="6"/>
  <c r="M6" i="6"/>
  <c r="M14" i="6"/>
  <c r="N4" i="6"/>
  <c r="N5" i="6"/>
  <c r="B6" i="6"/>
  <c r="B13" i="6" s="1"/>
  <c r="N7" i="6"/>
  <c r="N12" i="6"/>
  <c r="B14" i="6"/>
  <c r="B8" i="6"/>
  <c r="C4" i="2" s="1"/>
  <c r="C5" i="2" s="1"/>
  <c r="B81" i="6"/>
  <c r="E81" i="6"/>
  <c r="C81" i="6"/>
  <c r="D81" i="6"/>
  <c r="F81" i="6"/>
  <c r="G81" i="6"/>
  <c r="H81" i="6"/>
  <c r="I81" i="6"/>
  <c r="J81" i="6"/>
  <c r="K81" i="6"/>
  <c r="L81" i="6"/>
  <c r="M81" i="6"/>
  <c r="N66" i="6"/>
  <c r="N31" i="6"/>
  <c r="N32" i="6"/>
  <c r="N37" i="6"/>
  <c r="N33" i="6"/>
  <c r="N34" i="6"/>
  <c r="N35" i="6"/>
  <c r="N36" i="6"/>
  <c r="N25" i="6"/>
  <c r="N23" i="6"/>
  <c r="N24" i="6"/>
  <c r="N26" i="6"/>
  <c r="N28" i="6"/>
  <c r="N42" i="6"/>
  <c r="O20" i="2" s="1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7" i="6"/>
  <c r="N68" i="6"/>
  <c r="N69" i="6"/>
  <c r="N71" i="6"/>
  <c r="N70" i="6"/>
  <c r="D16" i="7"/>
  <c r="D18" i="7" s="1"/>
  <c r="A12" i="7"/>
  <c r="D4" i="7"/>
  <c r="D5" i="7"/>
  <c r="D6" i="7"/>
  <c r="C6" i="7"/>
  <c r="B5" i="7"/>
  <c r="B4" i="7"/>
  <c r="D25" i="2"/>
  <c r="E25" i="2"/>
  <c r="F25" i="2"/>
  <c r="G25" i="2"/>
  <c r="G26" i="2"/>
  <c r="H25" i="2"/>
  <c r="I25" i="2"/>
  <c r="J25" i="2"/>
  <c r="K25" i="2"/>
  <c r="L25" i="2"/>
  <c r="M25" i="2"/>
  <c r="N25" i="2"/>
  <c r="C25" i="2"/>
  <c r="C20" i="2"/>
  <c r="C26" i="2"/>
  <c r="N26" i="2"/>
  <c r="M26" i="2"/>
  <c r="L26" i="2"/>
  <c r="K26" i="2"/>
  <c r="J26" i="2"/>
  <c r="I26" i="2"/>
  <c r="H26" i="2"/>
  <c r="F26" i="2"/>
  <c r="E26" i="2"/>
  <c r="D26" i="2"/>
  <c r="D20" i="2"/>
  <c r="E20" i="2"/>
  <c r="F20" i="2"/>
  <c r="G20" i="2"/>
  <c r="H20" i="2"/>
  <c r="I20" i="2"/>
  <c r="J20" i="2"/>
  <c r="K20" i="2"/>
  <c r="L20" i="2"/>
  <c r="M20" i="2"/>
  <c r="N20" i="2"/>
  <c r="I10" i="2"/>
  <c r="I13" i="2"/>
  <c r="I16" i="2"/>
  <c r="I18" i="2"/>
  <c r="I22" i="2"/>
  <c r="I24" i="2"/>
  <c r="M16" i="7"/>
  <c r="M18" i="7" s="1"/>
  <c r="E22" i="6"/>
  <c r="G16" i="7"/>
  <c r="G18" i="7" s="1"/>
  <c r="E17" i="7"/>
  <c r="E19" i="7" s="1"/>
  <c r="M17" i="7"/>
  <c r="M72" i="6" l="1"/>
  <c r="G15" i="6"/>
  <c r="H8" i="2" s="1"/>
  <c r="H9" i="2" s="1"/>
  <c r="C72" i="6"/>
  <c r="F19" i="2"/>
  <c r="F21" i="2" s="1"/>
  <c r="O26" i="2"/>
  <c r="L72" i="6"/>
  <c r="N43" i="6"/>
  <c r="K13" i="6"/>
  <c r="M21" i="2"/>
  <c r="E72" i="6"/>
  <c r="J13" i="6"/>
  <c r="D72" i="6"/>
  <c r="G19" i="2"/>
  <c r="G21" i="2" s="1"/>
  <c r="N19" i="2"/>
  <c r="J72" i="6"/>
  <c r="D27" i="2"/>
  <c r="K27" i="2"/>
  <c r="E19" i="2"/>
  <c r="E21" i="2" s="1"/>
  <c r="D19" i="2"/>
  <c r="D21" i="2" s="1"/>
  <c r="K15" i="6"/>
  <c r="L8" i="2" s="1"/>
  <c r="L9" i="2" s="1"/>
  <c r="H8" i="6"/>
  <c r="I4" i="2" s="1"/>
  <c r="I5" i="2" s="1"/>
  <c r="I11" i="2" s="1"/>
  <c r="E13" i="6"/>
  <c r="E15" i="6" s="1"/>
  <c r="E17" i="6" s="1"/>
  <c r="E18" i="6" s="1"/>
  <c r="J19" i="2"/>
  <c r="J21" i="2" s="1"/>
  <c r="G8" i="6"/>
  <c r="H4" i="2" s="1"/>
  <c r="H5" i="2" s="1"/>
  <c r="H11" i="2" s="1"/>
  <c r="K19" i="2"/>
  <c r="K21" i="2" s="1"/>
  <c r="J15" i="6"/>
  <c r="J17" i="6" s="1"/>
  <c r="J18" i="6" s="1"/>
  <c r="F15" i="6"/>
  <c r="C13" i="6"/>
  <c r="C15" i="6" s="1"/>
  <c r="C17" i="6" s="1"/>
  <c r="C18" i="6" s="1"/>
  <c r="E27" i="2"/>
  <c r="N27" i="2"/>
  <c r="J27" i="2"/>
  <c r="F27" i="2"/>
  <c r="L27" i="2"/>
  <c r="I27" i="2"/>
  <c r="M27" i="2"/>
  <c r="C27" i="2"/>
  <c r="G27" i="2"/>
  <c r="H27" i="2"/>
  <c r="N21" i="2"/>
  <c r="K8" i="2"/>
  <c r="K9" i="2" s="1"/>
  <c r="K11" i="2" s="1"/>
  <c r="L13" i="6"/>
  <c r="L15" i="6" s="1"/>
  <c r="M8" i="2" s="1"/>
  <c r="M9" i="2" s="1"/>
  <c r="L8" i="6"/>
  <c r="G17" i="6"/>
  <c r="G18" i="6" s="1"/>
  <c r="F8" i="2"/>
  <c r="F9" i="2" s="1"/>
  <c r="D4" i="2"/>
  <c r="D5" i="2" s="1"/>
  <c r="L22" i="6"/>
  <c r="J22" i="6"/>
  <c r="J16" i="7"/>
  <c r="J18" i="7" s="1"/>
  <c r="H22" i="6"/>
  <c r="H19" i="7"/>
  <c r="H16" i="7"/>
  <c r="H18" i="7" s="1"/>
  <c r="H17" i="7"/>
  <c r="C19" i="2"/>
  <c r="C21" i="2" s="1"/>
  <c r="N45" i="6"/>
  <c r="B72" i="6"/>
  <c r="N44" i="6"/>
  <c r="I19" i="2"/>
  <c r="I21" i="2" s="1"/>
  <c r="E27" i="6"/>
  <c r="E29" i="6"/>
  <c r="L16" i="7"/>
  <c r="I8" i="6"/>
  <c r="I13" i="6"/>
  <c r="I15" i="6" s="1"/>
  <c r="J8" i="2" s="1"/>
  <c r="J9" i="2" s="1"/>
  <c r="F17" i="6"/>
  <c r="F18" i="6" s="1"/>
  <c r="G8" i="2"/>
  <c r="G9" i="2" s="1"/>
  <c r="G11" i="2" s="1"/>
  <c r="D13" i="6"/>
  <c r="D15" i="6" s="1"/>
  <c r="E8" i="2" s="1"/>
  <c r="E9" i="2" s="1"/>
  <c r="D8" i="6"/>
  <c r="N6" i="6"/>
  <c r="N8" i="6" s="1"/>
  <c r="N81" i="6"/>
  <c r="O25" i="2"/>
  <c r="I16" i="7"/>
  <c r="I18" i="7" s="1"/>
  <c r="I22" i="6"/>
  <c r="I17" i="7"/>
  <c r="C14" i="7"/>
  <c r="N12" i="7"/>
  <c r="H72" i="6"/>
  <c r="F11" i="2"/>
  <c r="B15" i="6"/>
  <c r="M8" i="6"/>
  <c r="M13" i="6"/>
  <c r="M15" i="6" s="1"/>
  <c r="N8" i="2" s="1"/>
  <c r="N9" i="2" s="1"/>
  <c r="N14" i="6"/>
  <c r="M22" i="6"/>
  <c r="M19" i="7"/>
  <c r="K19" i="7"/>
  <c r="K22" i="6"/>
  <c r="K16" i="7"/>
  <c r="K18" i="7" s="1"/>
  <c r="K17" i="7"/>
  <c r="H19" i="2"/>
  <c r="H21" i="2" s="1"/>
  <c r="G72" i="6"/>
  <c r="K72" i="6"/>
  <c r="L19" i="2"/>
  <c r="L21" i="2" s="1"/>
  <c r="I72" i="6"/>
  <c r="E6" i="7"/>
  <c r="F4" i="7"/>
  <c r="L4" i="2"/>
  <c r="L5" i="2" s="1"/>
  <c r="B14" i="7"/>
  <c r="N13" i="7"/>
  <c r="G22" i="6"/>
  <c r="G17" i="7"/>
  <c r="G19" i="7" s="1"/>
  <c r="F14" i="7"/>
  <c r="D17" i="7"/>
  <c r="D19" i="7" s="1"/>
  <c r="D22" i="6"/>
  <c r="F5" i="7"/>
  <c r="K17" i="6" l="1"/>
  <c r="K18" i="6" s="1"/>
  <c r="O27" i="2"/>
  <c r="L11" i="2"/>
  <c r="H17" i="6"/>
  <c r="H18" i="6" s="1"/>
  <c r="N72" i="6"/>
  <c r="K12" i="2"/>
  <c r="B22" i="6"/>
  <c r="N14" i="7"/>
  <c r="B16" i="7"/>
  <c r="F6" i="7"/>
  <c r="I27" i="6"/>
  <c r="I30" i="6" s="1"/>
  <c r="I29" i="6"/>
  <c r="O4" i="2"/>
  <c r="O5" i="2" s="1"/>
  <c r="L18" i="7"/>
  <c r="H29" i="6"/>
  <c r="H27" i="6"/>
  <c r="H30" i="6" s="1"/>
  <c r="J29" i="6"/>
  <c r="J27" i="6"/>
  <c r="J30" i="6" s="1"/>
  <c r="L12" i="2"/>
  <c r="C8" i="2"/>
  <c r="C9" i="2" s="1"/>
  <c r="C11" i="2" s="1"/>
  <c r="B17" i="6"/>
  <c r="B18" i="6" s="1"/>
  <c r="I12" i="2"/>
  <c r="M29" i="6"/>
  <c r="M27" i="6"/>
  <c r="M30" i="6" s="1"/>
  <c r="M17" i="6"/>
  <c r="M18" i="6" s="1"/>
  <c r="N4" i="2"/>
  <c r="N5" i="2" s="1"/>
  <c r="N11" i="2" s="1"/>
  <c r="C16" i="7"/>
  <c r="C18" i="7" s="1"/>
  <c r="C22" i="6"/>
  <c r="D17" i="6"/>
  <c r="D18" i="6" s="1"/>
  <c r="E4" i="2"/>
  <c r="E5" i="2" s="1"/>
  <c r="E11" i="2" s="1"/>
  <c r="O19" i="2"/>
  <c r="O21" i="2" s="1"/>
  <c r="L17" i="7"/>
  <c r="L19" i="7" s="1"/>
  <c r="M4" i="2"/>
  <c r="M5" i="2" s="1"/>
  <c r="M11" i="2" s="1"/>
  <c r="L17" i="6"/>
  <c r="L18" i="6" s="1"/>
  <c r="J4" i="2"/>
  <c r="J5" i="2" s="1"/>
  <c r="J11" i="2" s="1"/>
  <c r="I17" i="6"/>
  <c r="I18" i="6" s="1"/>
  <c r="H12" i="2"/>
  <c r="F16" i="7"/>
  <c r="F18" i="7" s="1"/>
  <c r="F17" i="7"/>
  <c r="F19" i="7" s="1"/>
  <c r="F22" i="6"/>
  <c r="D29" i="6"/>
  <c r="D27" i="6"/>
  <c r="D30" i="6" s="1"/>
  <c r="D8" i="2"/>
  <c r="D9" i="2" s="1"/>
  <c r="D11" i="2" s="1"/>
  <c r="G29" i="6"/>
  <c r="G27" i="6"/>
  <c r="G30" i="6" s="1"/>
  <c r="G12" i="2"/>
  <c r="K27" i="6"/>
  <c r="K30" i="6" s="1"/>
  <c r="K29" i="6"/>
  <c r="N13" i="6"/>
  <c r="N15" i="6" s="1"/>
  <c r="O8" i="2" s="1"/>
  <c r="O9" i="2" s="1"/>
  <c r="F12" i="2"/>
  <c r="I19" i="7"/>
  <c r="E30" i="6"/>
  <c r="E38" i="6" s="1"/>
  <c r="J17" i="7"/>
  <c r="J19" i="7" s="1"/>
  <c r="L29" i="6"/>
  <c r="L27" i="6"/>
  <c r="L30" i="6" s="1"/>
  <c r="H38" i="6" l="1"/>
  <c r="G38" i="6"/>
  <c r="H14" i="2" s="1"/>
  <c r="H15" i="2" s="1"/>
  <c r="M38" i="6"/>
  <c r="N14" i="2" s="1"/>
  <c r="N15" i="2" s="1"/>
  <c r="N17" i="2" s="1"/>
  <c r="J38" i="6"/>
  <c r="K14" i="2" s="1"/>
  <c r="K15" i="2" s="1"/>
  <c r="F14" i="2"/>
  <c r="F15" i="2" s="1"/>
  <c r="E84" i="6"/>
  <c r="I14" i="2"/>
  <c r="I15" i="2" s="1"/>
  <c r="H84" i="6"/>
  <c r="B18" i="7"/>
  <c r="N18" i="7" s="1"/>
  <c r="N16" i="7"/>
  <c r="B17" i="7"/>
  <c r="L38" i="6"/>
  <c r="K38" i="6"/>
  <c r="C17" i="7"/>
  <c r="C19" i="7" s="1"/>
  <c r="M84" i="6"/>
  <c r="I38" i="6"/>
  <c r="B19" i="7"/>
  <c r="M12" i="2"/>
  <c r="E12" i="2"/>
  <c r="C27" i="6"/>
  <c r="C30" i="6" s="1"/>
  <c r="C29" i="6"/>
  <c r="N23" i="2"/>
  <c r="N30" i="2" s="1"/>
  <c r="N12" i="2"/>
  <c r="N17" i="6"/>
  <c r="N18" i="6" s="1"/>
  <c r="C12" i="2"/>
  <c r="D12" i="2"/>
  <c r="D38" i="6"/>
  <c r="F27" i="6"/>
  <c r="F30" i="6" s="1"/>
  <c r="F29" i="6"/>
  <c r="J12" i="2"/>
  <c r="O11" i="2"/>
  <c r="N22" i="6"/>
  <c r="B27" i="6"/>
  <c r="B29" i="6"/>
  <c r="G84" i="6" l="1"/>
  <c r="J84" i="6"/>
  <c r="F38" i="6"/>
  <c r="G14" i="2" s="1"/>
  <c r="G15" i="2" s="1"/>
  <c r="O12" i="2"/>
  <c r="E14" i="2"/>
  <c r="E15" i="2" s="1"/>
  <c r="D84" i="6"/>
  <c r="J14" i="2"/>
  <c r="J15" i="2" s="1"/>
  <c r="I84" i="6"/>
  <c r="K84" i="6"/>
  <c r="L14" i="2"/>
  <c r="L15" i="2" s="1"/>
  <c r="H17" i="2"/>
  <c r="H23" i="2"/>
  <c r="H30" i="2" s="1"/>
  <c r="N29" i="6"/>
  <c r="M14" i="2"/>
  <c r="M15" i="2" s="1"/>
  <c r="L84" i="6"/>
  <c r="B30" i="6"/>
  <c r="N30" i="6" s="1"/>
  <c r="N27" i="6"/>
  <c r="K23" i="2"/>
  <c r="K30" i="2" s="1"/>
  <c r="K17" i="2"/>
  <c r="C38" i="6"/>
  <c r="N17" i="7"/>
  <c r="N19" i="7" s="1"/>
  <c r="I23" i="2"/>
  <c r="I30" i="2" s="1"/>
  <c r="I17" i="2"/>
  <c r="F23" i="2"/>
  <c r="F30" i="2" s="1"/>
  <c r="F17" i="2"/>
  <c r="F84" i="6" l="1"/>
  <c r="N38" i="6"/>
  <c r="O14" i="2" s="1"/>
  <c r="O15" i="2" s="1"/>
  <c r="N84" i="6"/>
  <c r="J17" i="2"/>
  <c r="J23" i="2"/>
  <c r="J30" i="2" s="1"/>
  <c r="G17" i="2"/>
  <c r="G23" i="2"/>
  <c r="G30" i="2" s="1"/>
  <c r="L17" i="2"/>
  <c r="L23" i="2"/>
  <c r="L30" i="2" s="1"/>
  <c r="D14" i="2"/>
  <c r="D15" i="2" s="1"/>
  <c r="C84" i="6"/>
  <c r="M23" i="2"/>
  <c r="M30" i="2" s="1"/>
  <c r="M17" i="2"/>
  <c r="E23" i="2"/>
  <c r="E30" i="2" s="1"/>
  <c r="E17" i="2"/>
  <c r="B38" i="6"/>
  <c r="C14" i="2" l="1"/>
  <c r="C15" i="2" s="1"/>
  <c r="B84" i="6"/>
  <c r="D17" i="2"/>
  <c r="D23" i="2"/>
  <c r="D30" i="2" s="1"/>
  <c r="O17" i="2"/>
  <c r="O23" i="2"/>
  <c r="O30" i="2" s="1"/>
  <c r="C23" i="2" l="1"/>
  <c r="C30" i="2" s="1"/>
  <c r="C17" i="2"/>
</calcChain>
</file>

<file path=xl/sharedStrings.xml><?xml version="1.0" encoding="utf-8"?>
<sst xmlns="http://schemas.openxmlformats.org/spreadsheetml/2006/main" count="146" uniqueCount="113">
  <si>
    <t>Lønnsoversikt - 20XX</t>
  </si>
  <si>
    <t>NAVN</t>
  </si>
  <si>
    <t>TIMELØNN</t>
  </si>
  <si>
    <t>PR.MND</t>
  </si>
  <si>
    <t>LØNN U.FP</t>
  </si>
  <si>
    <t>FP 12 %</t>
  </si>
  <si>
    <t>TOTALT</t>
  </si>
  <si>
    <t>Daglig leder</t>
  </si>
  <si>
    <t>Adm.sjef</t>
  </si>
  <si>
    <t>Periodiserte lønnskostnader - 20XX</t>
  </si>
  <si>
    <t>Periodisering av lønnskostnader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</si>
  <si>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</si>
  <si>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</si>
  <si>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</si>
  <si>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</si>
  <si>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</si>
  <si>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</si>
  <si>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</si>
  <si>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</si>
  <si>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</si>
  <si>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</si>
  <si>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</si>
  <si>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</si>
  <si>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Totalt</t>
  </si>
  <si>
    <t>Feriepenger</t>
  </si>
  <si>
    <t>Arbeidsgiveravgift</t>
  </si>
  <si>
    <t>Arb.avg.feriepenger</t>
  </si>
  <si>
    <t>Sum personalkostnader</t>
  </si>
  <si>
    <t>Jan.</t>
  </si>
  <si>
    <t>Salgsinntekter</t>
  </si>
  <si>
    <t>Salgsinntekter avg.pliktig.</t>
  </si>
  <si>
    <t>Salgsinntekter avg. Fritt</t>
  </si>
  <si>
    <t>Husleie inntekter</t>
  </si>
  <si>
    <t>Andre driftsinntekter</t>
  </si>
  <si>
    <t>Sum salgsinntekter</t>
  </si>
  <si>
    <t>Varekostnader</t>
  </si>
  <si>
    <t>Varekjøp avg.pliktig</t>
  </si>
  <si>
    <t>Varekjøp avg.fritt</t>
  </si>
  <si>
    <t>Diverse varekjøp utland</t>
  </si>
  <si>
    <t>Sum varekostnader</t>
  </si>
  <si>
    <t>DBI</t>
  </si>
  <si>
    <t>DB%</t>
  </si>
  <si>
    <t>Lønnskostnader</t>
  </si>
  <si>
    <t>Lønn til ansatte</t>
  </si>
  <si>
    <t>Bilgodtgjørelse avgiftspliktig</t>
  </si>
  <si>
    <t>Fri bil</t>
  </si>
  <si>
    <t>Motkonto fri bil</t>
  </si>
  <si>
    <t>Mat ved overtidsarbeid</t>
  </si>
  <si>
    <t>Feriepenger 12%</t>
  </si>
  <si>
    <t>Sykepenger</t>
  </si>
  <si>
    <t>Arb.g.avg.avs.feriep.</t>
  </si>
  <si>
    <t>Forsikringer</t>
  </si>
  <si>
    <t>Bompenger</t>
  </si>
  <si>
    <t>Trekkpliktig bilgodtgjørelse</t>
  </si>
  <si>
    <t>Godtgjørelse til styre</t>
  </si>
  <si>
    <t>Yrkesskadeforsikring</t>
  </si>
  <si>
    <t>Pensjonsforsikring</t>
  </si>
  <si>
    <t>Sosiale kostnader</t>
  </si>
  <si>
    <t>Sum lønnskostnad</t>
  </si>
  <si>
    <t>Andre driftskostnader</t>
  </si>
  <si>
    <t>Avskr. tr.sp.midler/maskiner/inv.</t>
  </si>
  <si>
    <t>Leie lokaler</t>
  </si>
  <si>
    <t>Felleskostnader</t>
  </si>
  <si>
    <t>Renhold</t>
  </si>
  <si>
    <t>Leie transportmidler</t>
  </si>
  <si>
    <t>Honorar revisjon</t>
  </si>
  <si>
    <t>Honorar regnskap</t>
  </si>
  <si>
    <t>Honorarer økon./jur. bistand</t>
  </si>
  <si>
    <t>Kontorrekvisita</t>
  </si>
  <si>
    <t>Data/teleutstyr</t>
  </si>
  <si>
    <t>Aviser, tidsskrifter, bøker</t>
  </si>
  <si>
    <t>Møter, kurs, oppdatering etc.</t>
  </si>
  <si>
    <t>Telefon/telefaks</t>
  </si>
  <si>
    <t>Mobiltelefon</t>
  </si>
  <si>
    <t>Data Kommunikasjon</t>
  </si>
  <si>
    <t>Porto</t>
  </si>
  <si>
    <t>Bilkostnader</t>
  </si>
  <si>
    <t>Vedlikehold</t>
  </si>
  <si>
    <t>Forsikring og avgifter biler</t>
  </si>
  <si>
    <t>Annen kostnad transportmidler</t>
  </si>
  <si>
    <t>Bilgodtgjørelse oppgavepl.</t>
  </si>
  <si>
    <t>Reklamekostnader</t>
  </si>
  <si>
    <t>Annonser</t>
  </si>
  <si>
    <t>Representasjon, fradragsberettiget</t>
  </si>
  <si>
    <t>Gaver, fradragsberettiget</t>
  </si>
  <si>
    <t>Gaver, ikke fradragsberettiget</t>
  </si>
  <si>
    <t>Forsikringspremie</t>
  </si>
  <si>
    <t>Bank og kortgebyrer</t>
  </si>
  <si>
    <t>Annen kostnad</t>
  </si>
  <si>
    <t>Tap på fordringer</t>
  </si>
  <si>
    <t>Sum andre driftskostnader</t>
  </si>
  <si>
    <t>Finansposter</t>
  </si>
  <si>
    <t>Renteinntekt</t>
  </si>
  <si>
    <t>Kursvinning</t>
  </si>
  <si>
    <t>Andre rentekostnader</t>
  </si>
  <si>
    <t>Kurstap</t>
  </si>
  <si>
    <t>Annen finanskostnad</t>
  </si>
  <si>
    <t>Sum finansposter</t>
  </si>
  <si>
    <t>Resultat</t>
  </si>
  <si>
    <t>Tot.</t>
  </si>
  <si>
    <t>Sum driftsinntekter</t>
  </si>
  <si>
    <t>Sum varekjøp</t>
  </si>
  <si>
    <t>DB I</t>
  </si>
  <si>
    <t xml:space="preserve">DG % </t>
  </si>
  <si>
    <t>Sum lønnskostnader</t>
  </si>
  <si>
    <t>DB II</t>
  </si>
  <si>
    <t>Avskrivninger</t>
  </si>
  <si>
    <t>Sum driftskostnader</t>
  </si>
  <si>
    <t>Driftsresultat</t>
  </si>
  <si>
    <t>Finansinntekter</t>
  </si>
  <si>
    <t>Finanskostnader</t>
  </si>
  <si>
    <t>Netto finansposter</t>
  </si>
  <si>
    <t>Resultat før skattekostnad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</si>
</sst>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_ * #,##0.00_ ;_ * \-#,##0.00_ ;_ * &quot;-&quot;??_ ;_ @_ "/>
    <numFmt numFmtId="166" formatCode="0.0\ %"/>
    <numFmt numFmtId="167" formatCode="_ * #,##0_ ;_ * \-#,##0_ ;_ * &quot;-&quot;??_ ;_ @_ "/>
  </numFmts>
  <fonts count="13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7" fontId="1" fillId="0" borderId="0" xfId="1" applyNumberFormat="1" applyFont="1" applyAlignment="1"/>
    <xf numFmtId="167" fontId="1" fillId="0" borderId="0" xfId="1" applyNumberFormat="1" applyFont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 applyAlignment="1">
      <alignment horizontal="center"/>
    </xf>
    <xf numFmtId="167" fontId="3" fillId="2" borderId="6" xfId="1" applyNumberFormat="1" applyFont="1" applyFill="1" applyBorder="1" applyAlignment="1"/>
    <xf numFmtId="167" fontId="3" fillId="2" borderId="6" xfId="1" applyNumberFormat="1" applyFont="1" applyFill="1" applyBorder="1" applyAlignment="1">
      <alignment horizontal="right"/>
    </xf>
    <xf numFmtId="10" fontId="3" fillId="2" borderId="6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8" xfId="0" applyFont="1" applyBorder="1"/>
    <xf numFmtId="2" fontId="1" fillId="0" borderId="9" xfId="0" applyNumberFormat="1" applyFont="1" applyBorder="1" applyAlignment="1">
      <alignment horizontal="center"/>
    </xf>
    <xf numFmtId="167" fontId="1" fillId="0" borderId="10" xfId="1" applyNumberFormat="1" applyFont="1" applyBorder="1" applyAlignment="1"/>
    <xf numFmtId="167" fontId="1" fillId="0" borderId="10" xfId="1" applyNumberFormat="1" applyFont="1" applyBorder="1"/>
    <xf numFmtId="167" fontId="1" fillId="0" borderId="10" xfId="0" applyNumberFormat="1" applyFont="1" applyBorder="1"/>
    <xf numFmtId="167" fontId="1" fillId="0" borderId="11" xfId="0" applyNumberFormat="1" applyFont="1" applyBorder="1"/>
    <xf numFmtId="3" fontId="1" fillId="0" borderId="0" xfId="0" applyNumberFormat="1" applyFont="1" applyBorder="1"/>
    <xf numFmtId="167" fontId="1" fillId="0" borderId="0" xfId="0" applyNumberFormat="1" applyFont="1" applyBorder="1"/>
    <xf numFmtId="0" fontId="1" fillId="0" borderId="12" xfId="0" applyFont="1" applyBorder="1"/>
    <xf numFmtId="2" fontId="1" fillId="0" borderId="13" xfId="0" applyNumberFormat="1" applyFont="1" applyBorder="1" applyAlignment="1">
      <alignment horizontal="center"/>
    </xf>
    <xf numFmtId="167" fontId="1" fillId="0" borderId="14" xfId="1" applyNumberFormat="1" applyFont="1" applyBorder="1" applyAlignment="1"/>
    <xf numFmtId="167" fontId="1" fillId="0" borderId="14" xfId="1" applyNumberFormat="1" applyFont="1" applyBorder="1"/>
    <xf numFmtId="167" fontId="1" fillId="0" borderId="14" xfId="0" applyNumberFormat="1" applyFont="1" applyBorder="1"/>
    <xf numFmtId="167" fontId="1" fillId="0" borderId="15" xfId="0" applyNumberFormat="1" applyFont="1" applyBorder="1"/>
    <xf numFmtId="167" fontId="3" fillId="2" borderId="6" xfId="1" applyNumberFormat="1" applyFont="1" applyFill="1" applyBorder="1"/>
    <xf numFmtId="167" fontId="3" fillId="2" borderId="7" xfId="1" applyNumberFormat="1" applyFont="1" applyFill="1" applyBorder="1"/>
    <xf numFmtId="3" fontId="3" fillId="0" borderId="0" xfId="0" applyNumberFormat="1" applyFont="1" applyBorder="1"/>
    <xf numFmtId="167" fontId="3" fillId="0" borderId="0" xfId="0" applyNumberFormat="1" applyFont="1" applyBorder="1"/>
    <xf numFmtId="0" fontId="3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7" fontId="1" fillId="0" borderId="0" xfId="1" applyNumberFormat="1" applyFont="1" applyBorder="1" applyAlignment="1"/>
    <xf numFmtId="3" fontId="1" fillId="0" borderId="0" xfId="0" applyNumberFormat="1" applyFont="1" applyBorder="1" applyAlignment="1">
      <alignment horizontal="center"/>
    </xf>
    <xf numFmtId="4" fontId="3" fillId="0" borderId="0" xfId="0" applyNumberFormat="1" applyFont="1" applyBorder="1"/>
    <xf numFmtId="0" fontId="5" fillId="0" borderId="0" xfId="0" applyFont="1" applyAlignment="1">
      <alignment horizontal="left"/>
    </xf>
    <xf numFmtId="0" fontId="6" fillId="0" borderId="0" xfId="0" applyFont="1"/>
    <xf numFmtId="0" fontId="3" fillId="2" borderId="14" xfId="0" applyFont="1" applyFill="1" applyBorder="1"/>
    <xf numFmtId="0" fontId="3" fillId="2" borderId="14" xfId="0" applyFont="1" applyFill="1" applyBorder="1" applyAlignment="1">
      <alignment horizontal="center"/>
    </xf>
    <xf numFmtId="0" fontId="1" fillId="0" borderId="14" xfId="0" applyFont="1" applyBorder="1"/>
    <xf numFmtId="3" fontId="1" fillId="0" borderId="14" xfId="0" applyNumberFormat="1" applyFont="1" applyBorder="1" applyAlignment="1">
      <alignment horizontal="center"/>
    </xf>
    <xf numFmtId="3" fontId="1" fillId="0" borderId="14" xfId="0" applyNumberFormat="1" applyFont="1" applyBorder="1"/>
    <xf numFmtId="3" fontId="1" fillId="0" borderId="0" xfId="0" applyNumberFormat="1" applyFont="1"/>
    <xf numFmtId="0" fontId="3" fillId="2" borderId="16" xfId="0" applyFont="1" applyFill="1" applyBorder="1"/>
    <xf numFmtId="167" fontId="3" fillId="2" borderId="16" xfId="1" applyNumberFormat="1" applyFont="1" applyFill="1" applyBorder="1" applyAlignment="1"/>
    <xf numFmtId="3" fontId="3" fillId="2" borderId="16" xfId="0" applyNumberFormat="1" applyFont="1" applyFill="1" applyBorder="1"/>
    <xf numFmtId="167" fontId="1" fillId="0" borderId="0" xfId="1" applyNumberFormat="1" applyFont="1" applyBorder="1"/>
    <xf numFmtId="0" fontId="1" fillId="0" borderId="17" xfId="0" applyFont="1" applyBorder="1"/>
    <xf numFmtId="3" fontId="1" fillId="0" borderId="17" xfId="0" applyNumberFormat="1" applyFont="1" applyBorder="1" applyAlignment="1">
      <alignment horizontal="center"/>
    </xf>
    <xf numFmtId="0" fontId="3" fillId="2" borderId="5" xfId="0" applyFont="1" applyFill="1" applyBorder="1"/>
    <xf numFmtId="3" fontId="3" fillId="2" borderId="6" xfId="0" applyNumberFormat="1" applyFont="1" applyFill="1" applyBorder="1" applyAlignment="1">
      <alignment horizontal="center"/>
    </xf>
    <xf numFmtId="0" fontId="3" fillId="0" borderId="0" xfId="0" applyFont="1"/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164" fontId="3" fillId="2" borderId="1" xfId="2" applyFont="1" applyFill="1" applyBorder="1" applyAlignment="1">
      <alignment horizontal="center"/>
    </xf>
    <xf numFmtId="0" fontId="7" fillId="0" borderId="0" xfId="0" applyFont="1"/>
    <xf numFmtId="164" fontId="1" fillId="0" borderId="0" xfId="2" applyFont="1" applyFill="1"/>
    <xf numFmtId="164" fontId="1" fillId="2" borderId="0" xfId="0" applyNumberFormat="1" applyFont="1" applyFill="1"/>
    <xf numFmtId="0" fontId="1" fillId="0" borderId="1" xfId="0" applyFont="1" applyBorder="1"/>
    <xf numFmtId="0" fontId="7" fillId="2" borderId="0" xfId="0" applyFont="1" applyFill="1"/>
    <xf numFmtId="164" fontId="3" fillId="2" borderId="0" xfId="2" applyFont="1" applyFill="1" applyBorder="1"/>
    <xf numFmtId="164" fontId="1" fillId="0" borderId="0" xfId="2" applyFont="1" applyFill="1" applyBorder="1"/>
    <xf numFmtId="164" fontId="1" fillId="0" borderId="0" xfId="2" applyFont="1"/>
    <xf numFmtId="164" fontId="1" fillId="0" borderId="0" xfId="0" applyNumberFormat="1" applyFont="1" applyBorder="1"/>
    <xf numFmtId="164" fontId="3" fillId="0" borderId="0" xfId="2" applyFont="1" applyFill="1" applyBorder="1"/>
    <xf numFmtId="0" fontId="3" fillId="2" borderId="0" xfId="0" applyFont="1" applyFill="1"/>
    <xf numFmtId="9" fontId="3" fillId="2" borderId="0" xfId="2" applyNumberFormat="1" applyFont="1" applyFill="1" applyBorder="1"/>
    <xf numFmtId="164" fontId="1" fillId="0" borderId="1" xfId="2" applyFont="1" applyFill="1" applyBorder="1"/>
    <xf numFmtId="164" fontId="1" fillId="2" borderId="1" xfId="0" applyNumberFormat="1" applyFont="1" applyFill="1" applyBorder="1"/>
    <xf numFmtId="164" fontId="1" fillId="2" borderId="0" xfId="2" applyFont="1" applyFill="1" applyBorder="1"/>
    <xf numFmtId="0" fontId="7" fillId="2" borderId="2" xfId="0" applyFont="1" applyFill="1" applyBorder="1"/>
    <xf numFmtId="164" fontId="3" fillId="2" borderId="2" xfId="2" applyFont="1" applyFill="1" applyBorder="1"/>
    <xf numFmtId="164" fontId="1" fillId="0" borderId="0" xfId="2" applyFont="1" applyBorder="1"/>
    <xf numFmtId="164" fontId="3" fillId="0" borderId="0" xfId="2" applyFont="1" applyFill="1"/>
    <xf numFmtId="0" fontId="1" fillId="0" borderId="0" xfId="0" applyFont="1" applyFill="1"/>
    <xf numFmtId="0" fontId="1" fillId="2" borderId="3" xfId="0" applyFont="1" applyFill="1" applyBorder="1"/>
    <xf numFmtId="164" fontId="3" fillId="2" borderId="3" xfId="2" applyFont="1" applyFill="1" applyBorder="1" applyAlignment="1">
      <alignment horizontal="center"/>
    </xf>
    <xf numFmtId="0" fontId="3" fillId="2" borderId="1" xfId="0" applyFont="1" applyFill="1" applyBorder="1"/>
    <xf numFmtId="166" fontId="8" fillId="2" borderId="1" xfId="3" applyNumberFormat="1" applyFont="1" applyFill="1" applyBorder="1" applyAlignment="1">
      <alignment horizontal="center"/>
    </xf>
    <xf numFmtId="0" fontId="1" fillId="3" borderId="0" xfId="0" applyFont="1" applyFill="1"/>
    <xf numFmtId="164" fontId="1" fillId="0" borderId="0" xfId="2" applyFont="1" applyAlignment="1">
      <alignment horizontal="center"/>
    </xf>
    <xf numFmtId="166" fontId="9" fillId="0" borderId="0" xfId="3" applyNumberFormat="1" applyFont="1" applyAlignment="1">
      <alignment horizontal="center"/>
    </xf>
    <xf numFmtId="164" fontId="3" fillId="2" borderId="0" xfId="2" applyFont="1" applyFill="1" applyBorder="1" applyAlignment="1">
      <alignment horizontal="center"/>
    </xf>
    <xf numFmtId="164" fontId="1" fillId="0" borderId="0" xfId="2" applyFont="1" applyBorder="1" applyAlignment="1">
      <alignment horizontal="center"/>
    </xf>
    <xf numFmtId="9" fontId="10" fillId="0" borderId="0" xfId="3" applyFont="1" applyBorder="1" applyAlignment="1"/>
    <xf numFmtId="164" fontId="1" fillId="0" borderId="0" xfId="0" applyNumberFormat="1" applyFont="1"/>
    <xf numFmtId="0" fontId="7" fillId="3" borderId="0" xfId="0" applyFont="1" applyFill="1"/>
    <xf numFmtId="164" fontId="3" fillId="2" borderId="0" xfId="2" applyFont="1" applyFill="1" applyAlignment="1">
      <alignment horizontal="center"/>
    </xf>
    <xf numFmtId="164" fontId="3" fillId="0" borderId="0" xfId="2" applyFont="1" applyAlignment="1">
      <alignment horizontal="center"/>
    </xf>
    <xf numFmtId="3" fontId="7" fillId="0" borderId="0" xfId="0" applyNumberFormat="1" applyFont="1"/>
    <xf numFmtId="9" fontId="10" fillId="0" borderId="0" xfId="3" applyFont="1" applyAlignment="1"/>
    <xf numFmtId="0" fontId="11" fillId="3" borderId="0" xfId="0" applyFont="1" applyFill="1"/>
    <xf numFmtId="164" fontId="12" fillId="2" borderId="0" xfId="2" applyFont="1" applyFill="1"/>
    <xf numFmtId="164" fontId="12" fillId="0" borderId="0" xfId="2" applyFont="1"/>
    <xf numFmtId="9" fontId="8" fillId="0" borderId="0" xfId="3" applyFont="1" applyBorder="1" applyAlignment="1"/>
    <xf numFmtId="0" fontId="3" fillId="3" borderId="0" xfId="0" applyFont="1" applyFill="1"/>
    <xf numFmtId="164" fontId="12" fillId="2" borderId="0" xfId="2" applyFont="1" applyFill="1" applyAlignment="1">
      <alignment horizontal="center"/>
    </xf>
    <xf numFmtId="3" fontId="11" fillId="0" borderId="0" xfId="0" applyNumberFormat="1" applyFont="1"/>
    <xf numFmtId="0" fontId="3" fillId="2" borderId="2" xfId="0" applyFont="1" applyFill="1" applyBorder="1"/>
    <xf numFmtId="164" fontId="12" fillId="2" borderId="2" xfId="2" applyFont="1" applyFill="1" applyBorder="1"/>
    <xf numFmtId="166" fontId="1" fillId="0" borderId="0" xfId="3" applyNumberFormat="1" applyFont="1" applyAlignment="1">
      <alignment horizontal="center"/>
    </xf>
    <xf numFmtId="166" fontId="1" fillId="0" borderId="0" xfId="3" applyNumberFormat="1" applyFont="1" applyBorder="1" applyAlignment="1">
      <alignment horizontal="center"/>
    </xf>
    <xf numFmtId="164" fontId="3" fillId="0" borderId="0" xfId="2" applyFont="1" applyBorder="1" applyAlignment="1">
      <alignment horizontal="center"/>
    </xf>
    <xf numFmtId="164" fontId="12" fillId="0" borderId="0" xfId="2" applyFont="1" applyBorder="1"/>
  </cellXfs>
  <cellStyles count="4">
    <cellStyle name="Komma" xfId="1" builtinId="3"/>
    <cellStyle name="Normal" xfId="0" builtinId="0"/>
    <cellStyle name="Prosent" xfId="3" builtinId="5"/>
    <cellStyle name="Tusenskille [0]" xfId="2" builtin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"/>
  <sheetViews>
    <sheetView tabSelected="1" workbookViewId="0">
      <selection activeCell="H5" sqref="H5"/>
    </sheetView>
  </sheetViews>
  <sheetFormatPr defaultColWidth="11.42578125" defaultRowHeight="17.100000000000001" customHeight="1"/>
  <cols>
    <col min="1" max="1" width="28" style="5" customWidth="1"/>
    <col min="2" max="2" width="10.42578125" style="7" customWidth="1"/>
    <col min="3" max="3" width="10.42578125" style="3" customWidth="1"/>
    <col min="4" max="4" width="11.42578125" style="4" customWidth="1"/>
    <col min="5" max="11" width="10.42578125" style="5" customWidth="1"/>
    <col min="12" max="16384" width="11.42578125" style="5"/>
  </cols>
  <sheetData>
    <row r="1" spans="1:16" ht="29.65" customHeight="1">
      <c r="A1" s="1" t="s">
        <v>0</v>
      </c>
      <c r="B1" s="2"/>
    </row>
    <row r="2" spans="1:16" ht="17.100000000000001" customHeight="1" thickBot="1">
      <c r="A2" s="6"/>
    </row>
    <row r="3" spans="1:16" ht="17.100000000000001" customHeight="1" thickBot="1">
      <c r="A3" s="8" t="s">
        <v>1</v>
      </c>
      <c r="B3" s="9" t="s">
        <v>2</v>
      </c>
      <c r="C3" s="10" t="s">
        <v>3</v>
      </c>
      <c r="D3" s="11" t="s">
        <v>4</v>
      </c>
      <c r="E3" s="12" t="s">
        <v>5</v>
      </c>
      <c r="F3" s="13" t="s">
        <v>6</v>
      </c>
      <c r="G3" s="14"/>
      <c r="H3" s="14"/>
    </row>
    <row r="4" spans="1:16" ht="17.100000000000001" customHeight="1">
      <c r="A4" s="15" t="s">
        <v>7</v>
      </c>
      <c r="B4" s="16">
        <f>C4/(37.5*4.333)</f>
        <v>307.71597815216552</v>
      </c>
      <c r="C4" s="17">
        <v>50000</v>
      </c>
      <c r="D4" s="18">
        <f>SUM(C4*11)</f>
        <v>550000</v>
      </c>
      <c r="E4" s="19">
        <f>SUM(D4*12%)</f>
        <v>66000</v>
      </c>
      <c r="F4" s="20">
        <f>SUM(D4+E4)</f>
        <v>616000</v>
      </c>
      <c r="G4" s="21"/>
      <c r="H4" s="22"/>
    </row>
    <row r="5" spans="1:16" ht="17.100000000000001" customHeight="1" thickBot="1">
      <c r="A5" s="23" t="s">
        <v>8</v>
      </c>
      <c r="B5" s="24">
        <f>C5/(37.5*4.333)</f>
        <v>169.24378798369105</v>
      </c>
      <c r="C5" s="25">
        <v>27500</v>
      </c>
      <c r="D5" s="26">
        <f>SUM(C5*11)</f>
        <v>302500</v>
      </c>
      <c r="E5" s="27">
        <f>SUM(D5*12%)</f>
        <v>36300</v>
      </c>
      <c r="F5" s="28">
        <f>SUM(D5+E5)</f>
        <v>338800</v>
      </c>
      <c r="G5" s="21"/>
      <c r="H5" s="22"/>
    </row>
    <row r="6" spans="1:16" s="33" customFormat="1" ht="17.100000000000001" customHeight="1" thickBot="1">
      <c r="A6" s="8" t="s">
        <v>6</v>
      </c>
      <c r="B6" s="9"/>
      <c r="C6" s="10">
        <f>SUM(C4:C5)</f>
        <v>77500</v>
      </c>
      <c r="D6" s="29">
        <f>SUM(D4:D5)</f>
        <v>852500</v>
      </c>
      <c r="E6" s="29">
        <f>SUM(E4:E5)</f>
        <v>102300</v>
      </c>
      <c r="F6" s="30">
        <f>SUM(F4:F5)</f>
        <v>954800</v>
      </c>
      <c r="G6" s="31"/>
      <c r="H6" s="32"/>
    </row>
    <row r="7" spans="1:16" s="34" customFormat="1" ht="17.100000000000001" customHeight="1">
      <c r="B7" s="35"/>
      <c r="C7" s="36"/>
      <c r="D7" s="37"/>
      <c r="G7" s="38"/>
    </row>
    <row r="8" spans="1:16" ht="17.100000000000001" customHeight="1">
      <c r="D8" s="37"/>
    </row>
    <row r="9" spans="1:16" ht="17.100000000000001" customHeight="1">
      <c r="A9" s="39" t="s">
        <v>9</v>
      </c>
      <c r="B9" s="2"/>
    </row>
    <row r="10" spans="1:16" ht="17.100000000000001" customHeight="1">
      <c r="A10" s="40" t="s">
        <v>10</v>
      </c>
    </row>
    <row r="11" spans="1:16" ht="17.100000000000001" customHeight="1">
      <c r="A11" s="41" t="s">
        <v>1</v>
      </c>
      <c r="B11" s="42" t="s">
        <v>11</v>
      </c>
      <c r="C11" s="42" t="s">
        <v>12</v>
      </c>
      <c r="D11" s="42" t="s">
        <v>13</v>
      </c>
      <c r="E11" s="42" t="s">
        <v>14</v>
      </c>
      <c r="F11" s="42" t="s">
        <v>15</v>
      </c>
      <c r="G11" s="42" t="s">
        <v>16</v>
      </c>
      <c r="H11" s="42" t="s">
        <v>17</v>
      </c>
      <c r="I11" s="42" t="s">
        <v>18</v>
      </c>
      <c r="J11" s="42" t="s">
        <v>19</v>
      </c>
      <c r="K11" s="42" t="s">
        <v>20</v>
      </c>
      <c r="L11" s="42" t="s">
        <v>21</v>
      </c>
      <c r="M11" s="42" t="s">
        <v>22</v>
      </c>
      <c r="N11" s="42" t="s">
        <v>23</v>
      </c>
    </row>
    <row r="12" spans="1:16" ht="17.100000000000001" customHeight="1">
      <c r="A12" s="43" t="str">
        <f>A4</f>
        <v>Daglig leder</v>
      </c>
      <c r="B12" s="44">
        <f t="shared" ref="B12:G13" si="0">$C4</f>
        <v>50000</v>
      </c>
      <c r="C12" s="44">
        <f t="shared" si="0"/>
        <v>50000</v>
      </c>
      <c r="D12" s="44">
        <f t="shared" si="0"/>
        <v>50000</v>
      </c>
      <c r="E12" s="44">
        <f t="shared" si="0"/>
        <v>50000</v>
      </c>
      <c r="F12" s="44">
        <f t="shared" si="0"/>
        <v>50000</v>
      </c>
      <c r="G12" s="44">
        <f t="shared" si="0"/>
        <v>50000</v>
      </c>
      <c r="H12" s="44">
        <f>$H4</f>
        <v>0</v>
      </c>
      <c r="I12" s="44">
        <f t="shared" ref="I12:M13" si="1">$C4</f>
        <v>50000</v>
      </c>
      <c r="J12" s="44">
        <f t="shared" si="1"/>
        <v>50000</v>
      </c>
      <c r="K12" s="44">
        <f t="shared" si="1"/>
        <v>50000</v>
      </c>
      <c r="L12" s="44">
        <f t="shared" si="1"/>
        <v>50000</v>
      </c>
      <c r="M12" s="44">
        <f t="shared" si="1"/>
        <v>50000</v>
      </c>
      <c r="N12" s="45">
        <f>SUM(B12:M12)</f>
        <v>550000</v>
      </c>
      <c r="P12" s="46"/>
    </row>
    <row r="13" spans="1:16" ht="17.100000000000001" customHeight="1">
      <c r="A13" s="43" t="s">
        <v>8</v>
      </c>
      <c r="B13" s="44">
        <f t="shared" si="0"/>
        <v>27500</v>
      </c>
      <c r="C13" s="44">
        <f t="shared" si="0"/>
        <v>27500</v>
      </c>
      <c r="D13" s="44">
        <f t="shared" si="0"/>
        <v>27500</v>
      </c>
      <c r="E13" s="44">
        <f t="shared" si="0"/>
        <v>27500</v>
      </c>
      <c r="F13" s="44">
        <f t="shared" si="0"/>
        <v>27500</v>
      </c>
      <c r="G13" s="44">
        <f t="shared" si="0"/>
        <v>27500</v>
      </c>
      <c r="H13" s="44">
        <f>$H5</f>
        <v>0</v>
      </c>
      <c r="I13" s="44">
        <f t="shared" si="1"/>
        <v>27500</v>
      </c>
      <c r="J13" s="44">
        <f t="shared" si="1"/>
        <v>27500</v>
      </c>
      <c r="K13" s="44">
        <f t="shared" si="1"/>
        <v>27500</v>
      </c>
      <c r="L13" s="44">
        <f t="shared" si="1"/>
        <v>27500</v>
      </c>
      <c r="M13" s="44">
        <f t="shared" si="1"/>
        <v>27500</v>
      </c>
      <c r="N13" s="45">
        <f>SUM(B13:M13)</f>
        <v>302500</v>
      </c>
    </row>
    <row r="14" spans="1:16" ht="17.100000000000001" customHeight="1" thickBot="1">
      <c r="A14" s="47" t="s">
        <v>6</v>
      </c>
      <c r="B14" s="48">
        <f t="shared" ref="B14:M14" si="2">SUM(B12:B13)</f>
        <v>77500</v>
      </c>
      <c r="C14" s="48">
        <f t="shared" si="2"/>
        <v>77500</v>
      </c>
      <c r="D14" s="48">
        <f t="shared" si="2"/>
        <v>77500</v>
      </c>
      <c r="E14" s="48">
        <f t="shared" si="2"/>
        <v>77500</v>
      </c>
      <c r="F14" s="48">
        <f t="shared" si="2"/>
        <v>77500</v>
      </c>
      <c r="G14" s="48">
        <f t="shared" si="2"/>
        <v>77500</v>
      </c>
      <c r="H14" s="48">
        <f t="shared" si="2"/>
        <v>0</v>
      </c>
      <c r="I14" s="48">
        <f t="shared" si="2"/>
        <v>77500</v>
      </c>
      <c r="J14" s="48">
        <f t="shared" si="2"/>
        <v>77500</v>
      </c>
      <c r="K14" s="48">
        <f t="shared" si="2"/>
        <v>77500</v>
      </c>
      <c r="L14" s="48">
        <f t="shared" si="2"/>
        <v>77500</v>
      </c>
      <c r="M14" s="48">
        <f t="shared" si="2"/>
        <v>77500</v>
      </c>
      <c r="N14" s="49">
        <f>SUM(B14:M14)</f>
        <v>852500</v>
      </c>
    </row>
    <row r="15" spans="1:16" ht="17.100000000000001" customHeight="1" thickTop="1">
      <c r="A15" s="34"/>
      <c r="B15" s="35"/>
      <c r="C15" s="36"/>
      <c r="D15" s="50"/>
      <c r="E15" s="34"/>
      <c r="F15" s="34"/>
    </row>
    <row r="16" spans="1:16" ht="17.100000000000001" customHeight="1">
      <c r="A16" s="43" t="s">
        <v>24</v>
      </c>
      <c r="B16" s="44">
        <f>(B14)*10.2%</f>
        <v>7904.9999999999991</v>
      </c>
      <c r="C16" s="44">
        <f t="shared" ref="C16:M16" si="3">(C14)*10.2%</f>
        <v>7904.9999999999991</v>
      </c>
      <c r="D16" s="44">
        <f t="shared" si="3"/>
        <v>7904.9999999999991</v>
      </c>
      <c r="E16" s="44">
        <f t="shared" si="3"/>
        <v>7904.9999999999991</v>
      </c>
      <c r="F16" s="44">
        <f t="shared" si="3"/>
        <v>7904.9999999999991</v>
      </c>
      <c r="G16" s="44">
        <f t="shared" si="3"/>
        <v>7904.9999999999991</v>
      </c>
      <c r="H16" s="44">
        <f t="shared" si="3"/>
        <v>0</v>
      </c>
      <c r="I16" s="44">
        <f t="shared" si="3"/>
        <v>7904.9999999999991</v>
      </c>
      <c r="J16" s="44">
        <f t="shared" si="3"/>
        <v>7904.9999999999991</v>
      </c>
      <c r="K16" s="44">
        <f t="shared" si="3"/>
        <v>7904.9999999999991</v>
      </c>
      <c r="L16" s="44">
        <f t="shared" si="3"/>
        <v>7904.9999999999991</v>
      </c>
      <c r="M16" s="44">
        <f t="shared" si="3"/>
        <v>7904.9999999999991</v>
      </c>
      <c r="N16" s="44">
        <f>SUM(B16:M16)</f>
        <v>86954.999999999985</v>
      </c>
    </row>
    <row r="17" spans="1:14" ht="17.100000000000001" customHeight="1">
      <c r="A17" s="43" t="s">
        <v>25</v>
      </c>
      <c r="B17" s="44">
        <f>(B14+B16)*14.1%</f>
        <v>12042.105</v>
      </c>
      <c r="C17" s="44">
        <f t="shared" ref="C17:M17" si="4">(C14+C16)*14.1%</f>
        <v>12042.105</v>
      </c>
      <c r="D17" s="44">
        <f t="shared" si="4"/>
        <v>12042.105</v>
      </c>
      <c r="E17" s="44">
        <f t="shared" si="4"/>
        <v>12042.105</v>
      </c>
      <c r="F17" s="44">
        <f t="shared" si="4"/>
        <v>12042.105</v>
      </c>
      <c r="G17" s="44">
        <f t="shared" si="4"/>
        <v>12042.105</v>
      </c>
      <c r="H17" s="44">
        <f t="shared" si="4"/>
        <v>0</v>
      </c>
      <c r="I17" s="44">
        <f t="shared" si="4"/>
        <v>12042.105</v>
      </c>
      <c r="J17" s="44">
        <f t="shared" si="4"/>
        <v>12042.105</v>
      </c>
      <c r="K17" s="44">
        <f t="shared" si="4"/>
        <v>12042.105</v>
      </c>
      <c r="L17" s="44">
        <f t="shared" si="4"/>
        <v>12042.105</v>
      </c>
      <c r="M17" s="44">
        <f t="shared" si="4"/>
        <v>12042.105</v>
      </c>
      <c r="N17" s="44">
        <f>SUM(B17:M17)</f>
        <v>132463.15499999997</v>
      </c>
    </row>
    <row r="18" spans="1:14" ht="17.100000000000001" customHeight="1" thickBot="1">
      <c r="A18" s="51" t="s">
        <v>26</v>
      </c>
      <c r="B18" s="52">
        <f>B16*12%</f>
        <v>948.59999999999991</v>
      </c>
      <c r="C18" s="52">
        <f t="shared" ref="C18:M18" si="5">C16*12%</f>
        <v>948.59999999999991</v>
      </c>
      <c r="D18" s="52">
        <f t="shared" si="5"/>
        <v>948.59999999999991</v>
      </c>
      <c r="E18" s="52">
        <f t="shared" si="5"/>
        <v>948.59999999999991</v>
      </c>
      <c r="F18" s="52">
        <f t="shared" si="5"/>
        <v>948.59999999999991</v>
      </c>
      <c r="G18" s="52">
        <f t="shared" si="5"/>
        <v>948.59999999999991</v>
      </c>
      <c r="H18" s="52">
        <f t="shared" si="5"/>
        <v>0</v>
      </c>
      <c r="I18" s="52">
        <f t="shared" si="5"/>
        <v>948.59999999999991</v>
      </c>
      <c r="J18" s="52">
        <f t="shared" si="5"/>
        <v>948.59999999999991</v>
      </c>
      <c r="K18" s="52">
        <f t="shared" si="5"/>
        <v>948.59999999999991</v>
      </c>
      <c r="L18" s="52">
        <f t="shared" si="5"/>
        <v>948.59999999999991</v>
      </c>
      <c r="M18" s="52">
        <f t="shared" si="5"/>
        <v>948.59999999999991</v>
      </c>
      <c r="N18" s="52">
        <f>SUM(B18:M18)</f>
        <v>10434.600000000002</v>
      </c>
    </row>
    <row r="19" spans="1:14" ht="17.100000000000001" customHeight="1" thickBot="1">
      <c r="A19" s="53" t="s">
        <v>27</v>
      </c>
      <c r="B19" s="54">
        <f>SUM(B14+B16+B17+B18)</f>
        <v>98395.705000000002</v>
      </c>
      <c r="C19" s="54">
        <f>SUM(C14+C16+C17+C18)</f>
        <v>98395.705000000002</v>
      </c>
      <c r="D19" s="54">
        <f t="shared" ref="D19:M19" si="6">SUM(D14+D16+D17+D18)</f>
        <v>98395.705000000002</v>
      </c>
      <c r="E19" s="54">
        <f t="shared" si="6"/>
        <v>98395.705000000002</v>
      </c>
      <c r="F19" s="54">
        <f t="shared" si="6"/>
        <v>98395.705000000002</v>
      </c>
      <c r="G19" s="54">
        <f t="shared" si="6"/>
        <v>98395.705000000002</v>
      </c>
      <c r="H19" s="54">
        <f t="shared" si="6"/>
        <v>0</v>
      </c>
      <c r="I19" s="54">
        <f t="shared" si="6"/>
        <v>98395.705000000002</v>
      </c>
      <c r="J19" s="54">
        <f t="shared" si="6"/>
        <v>98395.705000000002</v>
      </c>
      <c r="K19" s="54">
        <f t="shared" si="6"/>
        <v>98395.705000000002</v>
      </c>
      <c r="L19" s="54">
        <f t="shared" si="6"/>
        <v>98395.705000000002</v>
      </c>
      <c r="M19" s="54">
        <f t="shared" si="6"/>
        <v>98395.705000000002</v>
      </c>
      <c r="N19" s="54">
        <f>SUM(N14+N16+N17+N18)</f>
        <v>1082352.7550000001</v>
      </c>
    </row>
    <row r="21" spans="1:14" ht="17.100000000000001" customHeight="1">
      <c r="A21" s="55"/>
    </row>
  </sheetData>
  <phoneticPr fontId="0" type="noConversion"/>
  <pageMargins left="0.78740157499999996" right="0.78740157499999996" top="0.984251969" bottom="0.984251969" header="0.5" footer="0.5"/>
  <pageSetup paperSize="9"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47"/>
  <sheetViews>
    <sheetView workbookViewId="0">
      <pane xSplit="1" ySplit="6" topLeftCell="B7" activePane="bottomRight" state="frozen"/>
      <selection pane="bottomRight" activeCell="Q17" sqref="Q17"/>
      <selection pane="bottomLeft" activeCell="A7" sqref="A7"/>
      <selection pane="topRight" activeCell="C1" sqref="C1"/>
    </sheetView>
  </sheetViews>
  <sheetFormatPr defaultColWidth="11.42578125" defaultRowHeight="12.75"/>
  <cols>
    <col min="1" max="1" width="29.7109375" style="5" bestFit="1" customWidth="1"/>
    <col min="2" max="2" width="9.28515625" style="80" bestFit="1" customWidth="1"/>
    <col min="3" max="3" width="9.28515625" style="68" bestFit="1" customWidth="1"/>
    <col min="4" max="4" width="10.28515625" style="5" customWidth="1"/>
    <col min="5" max="6" width="10.85546875" style="5" bestFit="1" customWidth="1"/>
    <col min="7" max="8" width="9.28515625" style="5" bestFit="1" customWidth="1"/>
    <col min="9" max="9" width="10.28515625" style="5" customWidth="1"/>
    <col min="10" max="11" width="10.85546875" style="5" bestFit="1" customWidth="1"/>
    <col min="12" max="13" width="9.28515625" style="5" bestFit="1" customWidth="1"/>
    <col min="14" max="14" width="11.85546875" style="5" bestFit="1" customWidth="1"/>
    <col min="15" max="16384" width="11.42578125" style="5"/>
  </cols>
  <sheetData>
    <row r="1" spans="1:14">
      <c r="A1" s="56"/>
      <c r="B1" s="57" t="s">
        <v>28</v>
      </c>
      <c r="C1" s="57" t="s">
        <v>12</v>
      </c>
      <c r="D1" s="57" t="s">
        <v>13</v>
      </c>
      <c r="E1" s="57" t="s">
        <v>14</v>
      </c>
      <c r="F1" s="57" t="s">
        <v>15</v>
      </c>
      <c r="G1" s="57" t="s">
        <v>16</v>
      </c>
      <c r="H1" s="57" t="s">
        <v>17</v>
      </c>
      <c r="I1" s="57" t="s">
        <v>18</v>
      </c>
      <c r="J1" s="57" t="s">
        <v>19</v>
      </c>
      <c r="K1" s="57" t="s">
        <v>20</v>
      </c>
      <c r="L1" s="57" t="s">
        <v>21</v>
      </c>
      <c r="M1" s="57" t="s">
        <v>22</v>
      </c>
      <c r="N1" s="57" t="s">
        <v>23</v>
      </c>
    </row>
    <row r="2" spans="1:14">
      <c r="A2" s="58"/>
      <c r="B2" s="59"/>
      <c r="C2" s="60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>
      <c r="A3" s="55" t="s">
        <v>29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</row>
    <row r="4" spans="1:14" s="64" customFormat="1">
      <c r="A4" s="5" t="s">
        <v>30</v>
      </c>
      <c r="B4" s="62">
        <v>500000</v>
      </c>
      <c r="C4" s="62">
        <v>500000</v>
      </c>
      <c r="D4" s="62">
        <v>500000</v>
      </c>
      <c r="E4" s="62">
        <v>2500000</v>
      </c>
      <c r="F4" s="62">
        <v>1500000</v>
      </c>
      <c r="G4" s="62">
        <v>500000</v>
      </c>
      <c r="H4" s="62">
        <v>0</v>
      </c>
      <c r="I4" s="62">
        <v>500000</v>
      </c>
      <c r="J4" s="62">
        <v>1000000</v>
      </c>
      <c r="K4" s="62">
        <v>2000000</v>
      </c>
      <c r="L4" s="62">
        <v>600000</v>
      </c>
      <c r="M4" s="62">
        <v>200000</v>
      </c>
      <c r="N4" s="63">
        <f>SUM(B4:M4)</f>
        <v>10300000</v>
      </c>
    </row>
    <row r="5" spans="1:14">
      <c r="A5" s="5" t="s">
        <v>31</v>
      </c>
      <c r="B5" s="62">
        <v>200000</v>
      </c>
      <c r="C5" s="62">
        <v>200000</v>
      </c>
      <c r="D5" s="62">
        <v>400000</v>
      </c>
      <c r="E5" s="62">
        <v>200000</v>
      </c>
      <c r="F5" s="62">
        <v>200000</v>
      </c>
      <c r="G5" s="62">
        <v>200000</v>
      </c>
      <c r="H5" s="62">
        <v>100000</v>
      </c>
      <c r="I5" s="62">
        <v>500000</v>
      </c>
      <c r="J5" s="62">
        <v>800000</v>
      </c>
      <c r="K5" s="62">
        <v>800000</v>
      </c>
      <c r="L5" s="62">
        <v>200000</v>
      </c>
      <c r="M5" s="62">
        <v>200000</v>
      </c>
      <c r="N5" s="63">
        <f>SUM(B5:M5)</f>
        <v>4000000</v>
      </c>
    </row>
    <row r="6" spans="1:14" s="64" customFormat="1">
      <c r="A6" s="5" t="s">
        <v>32</v>
      </c>
      <c r="B6" s="62">
        <f>B5*40%</f>
        <v>80000</v>
      </c>
      <c r="C6" s="62">
        <f t="shared" ref="C6:M6" si="0">C5*40%</f>
        <v>80000</v>
      </c>
      <c r="D6" s="62">
        <f t="shared" si="0"/>
        <v>160000</v>
      </c>
      <c r="E6" s="62">
        <f t="shared" si="0"/>
        <v>80000</v>
      </c>
      <c r="F6" s="62">
        <f t="shared" si="0"/>
        <v>80000</v>
      </c>
      <c r="G6" s="62">
        <f t="shared" si="0"/>
        <v>80000</v>
      </c>
      <c r="H6" s="62">
        <f t="shared" si="0"/>
        <v>40000</v>
      </c>
      <c r="I6" s="62">
        <f t="shared" si="0"/>
        <v>200000</v>
      </c>
      <c r="J6" s="62">
        <f t="shared" si="0"/>
        <v>320000</v>
      </c>
      <c r="K6" s="62">
        <f t="shared" si="0"/>
        <v>320000</v>
      </c>
      <c r="L6" s="62">
        <f t="shared" si="0"/>
        <v>80000</v>
      </c>
      <c r="M6" s="62">
        <f t="shared" si="0"/>
        <v>80000</v>
      </c>
      <c r="N6" s="63">
        <f>SUM(B6:M6)</f>
        <v>1600000</v>
      </c>
    </row>
    <row r="7" spans="1:14">
      <c r="A7" s="5" t="s">
        <v>33</v>
      </c>
      <c r="B7" s="62">
        <v>1500</v>
      </c>
      <c r="C7" s="62">
        <v>1500</v>
      </c>
      <c r="D7" s="62">
        <v>1500</v>
      </c>
      <c r="E7" s="62">
        <v>1500</v>
      </c>
      <c r="F7" s="62">
        <v>1500</v>
      </c>
      <c r="G7" s="62">
        <v>1500</v>
      </c>
      <c r="H7" s="62">
        <v>1500</v>
      </c>
      <c r="I7" s="62">
        <v>1500</v>
      </c>
      <c r="J7" s="62">
        <v>1500</v>
      </c>
      <c r="K7" s="62">
        <v>1500</v>
      </c>
      <c r="L7" s="62">
        <v>1500</v>
      </c>
      <c r="M7" s="62">
        <v>1500</v>
      </c>
      <c r="N7" s="63">
        <f>SUM(B7:M7)</f>
        <v>18000</v>
      </c>
    </row>
    <row r="8" spans="1:14">
      <c r="A8" s="65" t="s">
        <v>34</v>
      </c>
      <c r="B8" s="66">
        <f t="shared" ref="B8:N8" si="1">SUM(B3:B7)</f>
        <v>781500</v>
      </c>
      <c r="C8" s="66">
        <f t="shared" si="1"/>
        <v>781500</v>
      </c>
      <c r="D8" s="66">
        <f t="shared" si="1"/>
        <v>1061500</v>
      </c>
      <c r="E8" s="66">
        <f t="shared" si="1"/>
        <v>2781500</v>
      </c>
      <c r="F8" s="66">
        <f t="shared" si="1"/>
        <v>1781500</v>
      </c>
      <c r="G8" s="66">
        <f t="shared" si="1"/>
        <v>781500</v>
      </c>
      <c r="H8" s="66">
        <f t="shared" si="1"/>
        <v>141500</v>
      </c>
      <c r="I8" s="66">
        <f t="shared" si="1"/>
        <v>1201500</v>
      </c>
      <c r="J8" s="66">
        <f t="shared" si="1"/>
        <v>2121500</v>
      </c>
      <c r="K8" s="66">
        <f t="shared" si="1"/>
        <v>3121500</v>
      </c>
      <c r="L8" s="66">
        <f t="shared" si="1"/>
        <v>881500</v>
      </c>
      <c r="M8" s="66">
        <f t="shared" si="1"/>
        <v>481500</v>
      </c>
      <c r="N8" s="66">
        <f t="shared" si="1"/>
        <v>15918000</v>
      </c>
    </row>
    <row r="9" spans="1:14">
      <c r="A9" s="61"/>
      <c r="B9" s="67"/>
      <c r="D9" s="69"/>
      <c r="N9" s="56"/>
    </row>
    <row r="10" spans="1:14">
      <c r="B10" s="67"/>
      <c r="N10" s="56"/>
    </row>
    <row r="11" spans="1:14">
      <c r="A11" s="55" t="s">
        <v>35</v>
      </c>
      <c r="B11" s="67"/>
      <c r="N11" s="56"/>
    </row>
    <row r="12" spans="1:14" s="55" customFormat="1">
      <c r="A12" s="5" t="s">
        <v>36</v>
      </c>
      <c r="B12" s="67">
        <v>0</v>
      </c>
      <c r="C12" s="67">
        <v>0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/>
      <c r="J12" s="67"/>
      <c r="K12" s="67"/>
      <c r="L12" s="67"/>
      <c r="M12" s="67"/>
      <c r="N12" s="63">
        <f>SUM(B12:M12)</f>
        <v>0</v>
      </c>
    </row>
    <row r="13" spans="1:14">
      <c r="A13" s="5" t="s">
        <v>37</v>
      </c>
      <c r="B13" s="67">
        <f>(B5+B6)*80%*-1</f>
        <v>-224000</v>
      </c>
      <c r="C13" s="67">
        <f t="shared" ref="C13:M13" si="2">(C5+C6)*80%*-1</f>
        <v>-224000</v>
      </c>
      <c r="D13" s="67">
        <f t="shared" si="2"/>
        <v>-448000</v>
      </c>
      <c r="E13" s="67">
        <f t="shared" si="2"/>
        <v>-224000</v>
      </c>
      <c r="F13" s="67">
        <f t="shared" si="2"/>
        <v>-224000</v>
      </c>
      <c r="G13" s="67">
        <f t="shared" si="2"/>
        <v>-224000</v>
      </c>
      <c r="H13" s="67">
        <f t="shared" si="2"/>
        <v>-112000</v>
      </c>
      <c r="I13" s="67">
        <f t="shared" si="2"/>
        <v>-560000</v>
      </c>
      <c r="J13" s="67">
        <f t="shared" si="2"/>
        <v>-896000</v>
      </c>
      <c r="K13" s="67">
        <f t="shared" si="2"/>
        <v>-896000</v>
      </c>
      <c r="L13" s="67">
        <f t="shared" si="2"/>
        <v>-224000</v>
      </c>
      <c r="M13" s="67">
        <f t="shared" si="2"/>
        <v>-224000</v>
      </c>
      <c r="N13" s="63">
        <f>SUM(B13:M13)</f>
        <v>-4480000</v>
      </c>
    </row>
    <row r="14" spans="1:14">
      <c r="A14" s="5" t="s">
        <v>38</v>
      </c>
      <c r="B14" s="67">
        <f>B4*80%*-1</f>
        <v>-400000</v>
      </c>
      <c r="C14" s="67">
        <f t="shared" ref="C14:M14" si="3">C4*80%*-1</f>
        <v>-400000</v>
      </c>
      <c r="D14" s="67">
        <f t="shared" si="3"/>
        <v>-400000</v>
      </c>
      <c r="E14" s="67">
        <f t="shared" si="3"/>
        <v>-2000000</v>
      </c>
      <c r="F14" s="67">
        <f t="shared" si="3"/>
        <v>-1200000</v>
      </c>
      <c r="G14" s="67">
        <f t="shared" si="3"/>
        <v>-400000</v>
      </c>
      <c r="H14" s="67">
        <f t="shared" si="3"/>
        <v>0</v>
      </c>
      <c r="I14" s="67">
        <f t="shared" si="3"/>
        <v>-400000</v>
      </c>
      <c r="J14" s="67">
        <f t="shared" si="3"/>
        <v>-800000</v>
      </c>
      <c r="K14" s="67">
        <f t="shared" si="3"/>
        <v>-1600000</v>
      </c>
      <c r="L14" s="67">
        <f t="shared" si="3"/>
        <v>-480000</v>
      </c>
      <c r="M14" s="67">
        <f t="shared" si="3"/>
        <v>-160000</v>
      </c>
      <c r="N14" s="63">
        <f>SUM(B14:M14)</f>
        <v>-8240000</v>
      </c>
    </row>
    <row r="15" spans="1:14">
      <c r="A15" s="65" t="s">
        <v>39</v>
      </c>
      <c r="B15" s="66">
        <f t="shared" ref="B15:N15" si="4">SUM(B12:B14)</f>
        <v>-624000</v>
      </c>
      <c r="C15" s="66">
        <f t="shared" si="4"/>
        <v>-624000</v>
      </c>
      <c r="D15" s="66">
        <f t="shared" si="4"/>
        <v>-848000</v>
      </c>
      <c r="E15" s="66">
        <f t="shared" si="4"/>
        <v>-2224000</v>
      </c>
      <c r="F15" s="66">
        <f t="shared" si="4"/>
        <v>-1424000</v>
      </c>
      <c r="G15" s="66">
        <f t="shared" si="4"/>
        <v>-624000</v>
      </c>
      <c r="H15" s="66">
        <f t="shared" si="4"/>
        <v>-112000</v>
      </c>
      <c r="I15" s="66">
        <f t="shared" si="4"/>
        <v>-960000</v>
      </c>
      <c r="J15" s="66">
        <f t="shared" si="4"/>
        <v>-1696000</v>
      </c>
      <c r="K15" s="66">
        <f t="shared" si="4"/>
        <v>-2496000</v>
      </c>
      <c r="L15" s="66">
        <f t="shared" si="4"/>
        <v>-704000</v>
      </c>
      <c r="M15" s="66">
        <f t="shared" si="4"/>
        <v>-384000</v>
      </c>
      <c r="N15" s="66">
        <f t="shared" si="4"/>
        <v>-12720000</v>
      </c>
    </row>
    <row r="16" spans="1:14">
      <c r="A16" s="61"/>
      <c r="B16" s="70"/>
      <c r="C16" s="70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71"/>
    </row>
    <row r="17" spans="1:14">
      <c r="A17" s="65" t="s">
        <v>40</v>
      </c>
      <c r="B17" s="66">
        <f t="shared" ref="B17:N17" si="5">B8+B15</f>
        <v>157500</v>
      </c>
      <c r="C17" s="66">
        <f t="shared" si="5"/>
        <v>157500</v>
      </c>
      <c r="D17" s="66">
        <f t="shared" si="5"/>
        <v>213500</v>
      </c>
      <c r="E17" s="66">
        <f t="shared" si="5"/>
        <v>557500</v>
      </c>
      <c r="F17" s="66">
        <f t="shared" si="5"/>
        <v>357500</v>
      </c>
      <c r="G17" s="66">
        <f t="shared" si="5"/>
        <v>157500</v>
      </c>
      <c r="H17" s="66">
        <f t="shared" si="5"/>
        <v>29500</v>
      </c>
      <c r="I17" s="66">
        <f t="shared" si="5"/>
        <v>241500</v>
      </c>
      <c r="J17" s="66">
        <f t="shared" si="5"/>
        <v>425500</v>
      </c>
      <c r="K17" s="66">
        <f t="shared" si="5"/>
        <v>625500</v>
      </c>
      <c r="L17" s="66">
        <f t="shared" si="5"/>
        <v>177500</v>
      </c>
      <c r="M17" s="66">
        <f t="shared" si="5"/>
        <v>97500</v>
      </c>
      <c r="N17" s="66">
        <f t="shared" si="5"/>
        <v>3198000</v>
      </c>
    </row>
    <row r="18" spans="1:14">
      <c r="A18" s="65" t="s">
        <v>41</v>
      </c>
      <c r="B18" s="72">
        <f t="shared" ref="B18:N18" si="6">B17/B8</f>
        <v>0.20153550863723607</v>
      </c>
      <c r="C18" s="72">
        <f t="shared" si="6"/>
        <v>0.20153550863723607</v>
      </c>
      <c r="D18" s="72">
        <f t="shared" si="6"/>
        <v>0.2011304757418747</v>
      </c>
      <c r="E18" s="72">
        <f t="shared" si="6"/>
        <v>0.20043142189466115</v>
      </c>
      <c r="F18" s="72">
        <f t="shared" si="6"/>
        <v>0.20067358967162505</v>
      </c>
      <c r="G18" s="72">
        <f t="shared" si="6"/>
        <v>0.20153550863723607</v>
      </c>
      <c r="H18" s="72">
        <f t="shared" si="6"/>
        <v>0.20848056537102475</v>
      </c>
      <c r="I18" s="72">
        <f t="shared" si="6"/>
        <v>0.2009987515605493</v>
      </c>
      <c r="J18" s="72">
        <f t="shared" si="6"/>
        <v>0.2005656375206222</v>
      </c>
      <c r="K18" s="72">
        <f t="shared" si="6"/>
        <v>0.20038443056222971</v>
      </c>
      <c r="L18" s="72">
        <f t="shared" si="6"/>
        <v>0.20136131593874079</v>
      </c>
      <c r="M18" s="72">
        <f t="shared" si="6"/>
        <v>0.20249221183800623</v>
      </c>
      <c r="N18" s="72">
        <f t="shared" si="6"/>
        <v>0.20090463626083679</v>
      </c>
    </row>
    <row r="19" spans="1:14" s="55" customFormat="1">
      <c r="A19" s="65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</row>
    <row r="20" spans="1:14" s="55" customFormat="1">
      <c r="A20" s="61"/>
      <c r="B20" s="70"/>
      <c r="C20" s="70"/>
      <c r="N20" s="71"/>
    </row>
    <row r="21" spans="1:14" s="55" customFormat="1">
      <c r="A21" s="55" t="s">
        <v>42</v>
      </c>
      <c r="B21" s="70"/>
      <c r="C21" s="70"/>
      <c r="N21" s="71"/>
    </row>
    <row r="22" spans="1:14" s="55" customFormat="1">
      <c r="A22" s="5" t="s">
        <v>43</v>
      </c>
      <c r="B22" s="67">
        <f>Lønn!B14*-1</f>
        <v>-77500</v>
      </c>
      <c r="C22" s="67">
        <f>Lønn!C14*-1</f>
        <v>-77500</v>
      </c>
      <c r="D22" s="67">
        <f>Lønn!D14*-1</f>
        <v>-77500</v>
      </c>
      <c r="E22" s="67">
        <f>Lønn!E14*-1</f>
        <v>-77500</v>
      </c>
      <c r="F22" s="67">
        <f>Lønn!F14*-1</f>
        <v>-77500</v>
      </c>
      <c r="G22" s="67">
        <f>Lønn!G14*-1</f>
        <v>-77500</v>
      </c>
      <c r="H22" s="67">
        <f>Lønn!H14*-1</f>
        <v>0</v>
      </c>
      <c r="I22" s="67">
        <f>Lønn!I14*-1</f>
        <v>-77500</v>
      </c>
      <c r="J22" s="67">
        <f>Lønn!J14*-1</f>
        <v>-77500</v>
      </c>
      <c r="K22" s="67">
        <f>Lønn!K14*-1</f>
        <v>-77500</v>
      </c>
      <c r="L22" s="67">
        <f>Lønn!L14*-1</f>
        <v>-77500</v>
      </c>
      <c r="M22" s="67">
        <f>Lønn!M14*-1</f>
        <v>-77500</v>
      </c>
      <c r="N22" s="63">
        <f>SUM(B22:M22)</f>
        <v>-852500</v>
      </c>
    </row>
    <row r="23" spans="1:14" s="55" customFormat="1">
      <c r="A23" s="5" t="s">
        <v>44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3">
        <f t="shared" ref="N23:N37" si="7">SUM(B23:M23)</f>
        <v>0</v>
      </c>
    </row>
    <row r="24" spans="1:14" s="55" customFormat="1">
      <c r="A24" s="5" t="s">
        <v>45</v>
      </c>
      <c r="B24" s="67">
        <v>4500</v>
      </c>
      <c r="C24" s="67">
        <v>4500</v>
      </c>
      <c r="D24" s="67">
        <v>4500</v>
      </c>
      <c r="E24" s="67">
        <v>4500</v>
      </c>
      <c r="F24" s="67">
        <v>4500</v>
      </c>
      <c r="G24" s="67">
        <v>4500</v>
      </c>
      <c r="H24" s="67">
        <v>4500</v>
      </c>
      <c r="I24" s="67">
        <v>4500</v>
      </c>
      <c r="J24" s="67">
        <v>4500</v>
      </c>
      <c r="K24" s="67">
        <v>4500</v>
      </c>
      <c r="L24" s="67">
        <v>4500</v>
      </c>
      <c r="M24" s="67">
        <v>4500</v>
      </c>
      <c r="N24" s="63">
        <f>SUM(B24:M24)</f>
        <v>54000</v>
      </c>
    </row>
    <row r="25" spans="1:14" s="55" customFormat="1">
      <c r="A25" s="5" t="s">
        <v>46</v>
      </c>
      <c r="B25" s="67">
        <v>-4500</v>
      </c>
      <c r="C25" s="67">
        <v>-4500</v>
      </c>
      <c r="D25" s="67">
        <v>-4500</v>
      </c>
      <c r="E25" s="67">
        <v>-4500</v>
      </c>
      <c r="F25" s="67">
        <v>-4500</v>
      </c>
      <c r="G25" s="67">
        <v>-4500</v>
      </c>
      <c r="H25" s="67">
        <v>-4500</v>
      </c>
      <c r="I25" s="67">
        <v>-4500</v>
      </c>
      <c r="J25" s="67">
        <v>-4500</v>
      </c>
      <c r="K25" s="67">
        <v>-4500</v>
      </c>
      <c r="L25" s="67">
        <v>-4500</v>
      </c>
      <c r="M25" s="67">
        <v>-4500</v>
      </c>
      <c r="N25" s="63">
        <f>SUM(B25:M25)</f>
        <v>-54000</v>
      </c>
    </row>
    <row r="26" spans="1:14" s="55" customFormat="1">
      <c r="A26" s="5" t="s">
        <v>47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3">
        <f t="shared" si="7"/>
        <v>0</v>
      </c>
    </row>
    <row r="27" spans="1:14" s="55" customFormat="1">
      <c r="A27" s="5" t="s">
        <v>48</v>
      </c>
      <c r="B27" s="67">
        <f>12%*B22</f>
        <v>-9300</v>
      </c>
      <c r="C27" s="67">
        <f t="shared" ref="C27:M27" si="8">12%*C22</f>
        <v>-9300</v>
      </c>
      <c r="D27" s="67">
        <f t="shared" si="8"/>
        <v>-9300</v>
      </c>
      <c r="E27" s="67">
        <f t="shared" si="8"/>
        <v>-9300</v>
      </c>
      <c r="F27" s="67">
        <f t="shared" si="8"/>
        <v>-9300</v>
      </c>
      <c r="G27" s="67">
        <f t="shared" si="8"/>
        <v>-9300</v>
      </c>
      <c r="H27" s="67">
        <f t="shared" si="8"/>
        <v>0</v>
      </c>
      <c r="I27" s="67">
        <f t="shared" si="8"/>
        <v>-9300</v>
      </c>
      <c r="J27" s="67">
        <f t="shared" si="8"/>
        <v>-9300</v>
      </c>
      <c r="K27" s="67">
        <f t="shared" si="8"/>
        <v>-9300</v>
      </c>
      <c r="L27" s="67">
        <f t="shared" si="8"/>
        <v>-9300</v>
      </c>
      <c r="M27" s="67">
        <f t="shared" si="8"/>
        <v>-9300</v>
      </c>
      <c r="N27" s="63">
        <f t="shared" si="7"/>
        <v>-102300</v>
      </c>
    </row>
    <row r="28" spans="1:14" s="55" customFormat="1">
      <c r="A28" s="5" t="s">
        <v>49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3">
        <f t="shared" si="7"/>
        <v>0</v>
      </c>
    </row>
    <row r="29" spans="1:14" s="55" customFormat="1">
      <c r="A29" s="5" t="s">
        <v>25</v>
      </c>
      <c r="B29" s="67">
        <f t="shared" ref="B29:M29" si="9">14.1%*(B22+B25)</f>
        <v>-11561.999999999998</v>
      </c>
      <c r="C29" s="67">
        <f t="shared" si="9"/>
        <v>-11561.999999999998</v>
      </c>
      <c r="D29" s="67">
        <f t="shared" si="9"/>
        <v>-11561.999999999998</v>
      </c>
      <c r="E29" s="67">
        <f t="shared" si="9"/>
        <v>-11561.999999999998</v>
      </c>
      <c r="F29" s="67">
        <f t="shared" si="9"/>
        <v>-11561.999999999998</v>
      </c>
      <c r="G29" s="67">
        <f t="shared" si="9"/>
        <v>-11561.999999999998</v>
      </c>
      <c r="H29" s="67">
        <f t="shared" si="9"/>
        <v>-634.49999999999989</v>
      </c>
      <c r="I29" s="67">
        <f t="shared" si="9"/>
        <v>-11561.999999999998</v>
      </c>
      <c r="J29" s="67">
        <f t="shared" si="9"/>
        <v>-11561.999999999998</v>
      </c>
      <c r="K29" s="67">
        <f t="shared" si="9"/>
        <v>-11561.999999999998</v>
      </c>
      <c r="L29" s="67">
        <f t="shared" si="9"/>
        <v>-11561.999999999998</v>
      </c>
      <c r="M29" s="67">
        <f t="shared" si="9"/>
        <v>-11561.999999999998</v>
      </c>
      <c r="N29" s="63">
        <f>SUM(B29:M29)</f>
        <v>-127816.49999999999</v>
      </c>
    </row>
    <row r="30" spans="1:14" s="55" customFormat="1">
      <c r="A30" s="5" t="s">
        <v>50</v>
      </c>
      <c r="B30" s="67">
        <f>14.1%*B27</f>
        <v>-1311.3</v>
      </c>
      <c r="C30" s="67">
        <f t="shared" ref="C30:M30" si="10">14.1%*C27</f>
        <v>-1311.3</v>
      </c>
      <c r="D30" s="67">
        <f t="shared" si="10"/>
        <v>-1311.3</v>
      </c>
      <c r="E30" s="67">
        <f t="shared" si="10"/>
        <v>-1311.3</v>
      </c>
      <c r="F30" s="67">
        <f t="shared" si="10"/>
        <v>-1311.3</v>
      </c>
      <c r="G30" s="67">
        <f t="shared" si="10"/>
        <v>-1311.3</v>
      </c>
      <c r="H30" s="67">
        <f t="shared" si="10"/>
        <v>0</v>
      </c>
      <c r="I30" s="67">
        <f t="shared" si="10"/>
        <v>-1311.3</v>
      </c>
      <c r="J30" s="67">
        <f t="shared" si="10"/>
        <v>-1311.3</v>
      </c>
      <c r="K30" s="67">
        <f t="shared" si="10"/>
        <v>-1311.3</v>
      </c>
      <c r="L30" s="67">
        <f t="shared" si="10"/>
        <v>-1311.3</v>
      </c>
      <c r="M30" s="67">
        <f t="shared" si="10"/>
        <v>-1311.3</v>
      </c>
      <c r="N30" s="63">
        <f>SUM(B30:M30)</f>
        <v>-14424.299999999997</v>
      </c>
    </row>
    <row r="31" spans="1:14" s="55" customFormat="1">
      <c r="A31" s="5" t="s">
        <v>51</v>
      </c>
      <c r="B31" s="67">
        <v>-1500</v>
      </c>
      <c r="C31" s="67">
        <v>-1500</v>
      </c>
      <c r="D31" s="67">
        <v>-1500</v>
      </c>
      <c r="E31" s="67">
        <v>-1500</v>
      </c>
      <c r="F31" s="67">
        <v>-1500</v>
      </c>
      <c r="G31" s="67">
        <v>-1500</v>
      </c>
      <c r="H31" s="67">
        <v>-1500</v>
      </c>
      <c r="I31" s="67">
        <v>-1500</v>
      </c>
      <c r="J31" s="67">
        <v>-1500</v>
      </c>
      <c r="K31" s="67">
        <v>-1500</v>
      </c>
      <c r="L31" s="67">
        <v>-1500</v>
      </c>
      <c r="M31" s="67">
        <v>-1500</v>
      </c>
      <c r="N31" s="63">
        <f t="shared" si="7"/>
        <v>-18000</v>
      </c>
    </row>
    <row r="32" spans="1:14" s="55" customFormat="1">
      <c r="A32" s="5" t="s">
        <v>52</v>
      </c>
      <c r="B32" s="67">
        <v>-500</v>
      </c>
      <c r="C32" s="67">
        <v>-500</v>
      </c>
      <c r="D32" s="67">
        <v>-500</v>
      </c>
      <c r="E32" s="67">
        <v>-500</v>
      </c>
      <c r="F32" s="67">
        <v>-500</v>
      </c>
      <c r="G32" s="67">
        <v>-500</v>
      </c>
      <c r="H32" s="67">
        <v>-500</v>
      </c>
      <c r="I32" s="67">
        <v>-500</v>
      </c>
      <c r="J32" s="67">
        <v>-500</v>
      </c>
      <c r="K32" s="67">
        <v>-500</v>
      </c>
      <c r="L32" s="67">
        <v>-500</v>
      </c>
      <c r="M32" s="67">
        <v>-500</v>
      </c>
      <c r="N32" s="63">
        <f t="shared" si="7"/>
        <v>-6000</v>
      </c>
    </row>
    <row r="33" spans="1:14" s="55" customFormat="1">
      <c r="A33" s="5" t="s">
        <v>53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3">
        <f t="shared" si="7"/>
        <v>0</v>
      </c>
    </row>
    <row r="34" spans="1:14" s="55" customFormat="1">
      <c r="A34" s="5" t="s">
        <v>54</v>
      </c>
      <c r="B34" s="67"/>
      <c r="C34" s="67"/>
      <c r="D34" s="67"/>
      <c r="E34" s="67"/>
      <c r="F34" s="67"/>
      <c r="G34" s="67">
        <v>0</v>
      </c>
      <c r="H34" s="67"/>
      <c r="I34" s="67"/>
      <c r="J34" s="67"/>
      <c r="K34" s="67"/>
      <c r="L34" s="67"/>
      <c r="M34" s="67">
        <v>0</v>
      </c>
      <c r="N34" s="63">
        <f t="shared" si="7"/>
        <v>0</v>
      </c>
    </row>
    <row r="35" spans="1:14" s="55" customFormat="1">
      <c r="A35" s="5" t="s">
        <v>55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3">
        <f t="shared" si="7"/>
        <v>0</v>
      </c>
    </row>
    <row r="36" spans="1:14" s="55" customFormat="1">
      <c r="A36" s="5" t="s">
        <v>56</v>
      </c>
      <c r="B36" s="67"/>
      <c r="C36" s="67"/>
      <c r="D36" s="67">
        <v>-5000</v>
      </c>
      <c r="E36" s="67"/>
      <c r="F36" s="67"/>
      <c r="G36" s="67">
        <v>-5000</v>
      </c>
      <c r="H36" s="67"/>
      <c r="I36" s="67"/>
      <c r="J36" s="67">
        <v>-5000</v>
      </c>
      <c r="K36" s="67"/>
      <c r="L36" s="67"/>
      <c r="M36" s="67">
        <v>-5000</v>
      </c>
      <c r="N36" s="63">
        <f t="shared" si="7"/>
        <v>-20000</v>
      </c>
    </row>
    <row r="37" spans="1:14" s="55" customFormat="1">
      <c r="A37" s="5" t="s">
        <v>57</v>
      </c>
      <c r="B37" s="73">
        <v>-2500</v>
      </c>
      <c r="C37" s="73">
        <v>-2500</v>
      </c>
      <c r="D37" s="73">
        <v>-2500</v>
      </c>
      <c r="E37" s="73">
        <v>-2500</v>
      </c>
      <c r="F37" s="73">
        <v>-2500</v>
      </c>
      <c r="G37" s="73">
        <v>-2500</v>
      </c>
      <c r="H37" s="73">
        <v>-2500</v>
      </c>
      <c r="I37" s="73">
        <v>-2500</v>
      </c>
      <c r="J37" s="73">
        <v>-2500</v>
      </c>
      <c r="K37" s="73">
        <v>-2500</v>
      </c>
      <c r="L37" s="73">
        <v>-2500</v>
      </c>
      <c r="M37" s="73">
        <v>-35000</v>
      </c>
      <c r="N37" s="74">
        <f t="shared" si="7"/>
        <v>-62500</v>
      </c>
    </row>
    <row r="38" spans="1:14" s="55" customFormat="1">
      <c r="A38" s="65" t="s">
        <v>58</v>
      </c>
      <c r="B38" s="66">
        <f t="shared" ref="B38:N38" si="11">SUM(B22:B37)</f>
        <v>-104173.3</v>
      </c>
      <c r="C38" s="66">
        <f t="shared" si="11"/>
        <v>-104173.3</v>
      </c>
      <c r="D38" s="66">
        <f t="shared" si="11"/>
        <v>-109173.3</v>
      </c>
      <c r="E38" s="66">
        <f t="shared" si="11"/>
        <v>-104173.3</v>
      </c>
      <c r="F38" s="66">
        <f t="shared" si="11"/>
        <v>-104173.3</v>
      </c>
      <c r="G38" s="66">
        <f t="shared" si="11"/>
        <v>-109173.3</v>
      </c>
      <c r="H38" s="66">
        <f t="shared" si="11"/>
        <v>-5134.5</v>
      </c>
      <c r="I38" s="66">
        <f t="shared" si="11"/>
        <v>-104173.3</v>
      </c>
      <c r="J38" s="66">
        <f t="shared" si="11"/>
        <v>-109173.3</v>
      </c>
      <c r="K38" s="66">
        <f t="shared" si="11"/>
        <v>-104173.3</v>
      </c>
      <c r="L38" s="66">
        <f t="shared" si="11"/>
        <v>-104173.3</v>
      </c>
      <c r="M38" s="66">
        <f t="shared" si="11"/>
        <v>-141673.29999999999</v>
      </c>
      <c r="N38" s="66">
        <f t="shared" si="11"/>
        <v>-1203540.8</v>
      </c>
    </row>
    <row r="39" spans="1:14" s="55" customFormat="1">
      <c r="A39" s="5"/>
      <c r="B39" s="67"/>
      <c r="C39" s="68"/>
      <c r="D39" s="5"/>
      <c r="E39" s="5"/>
      <c r="F39" s="5"/>
      <c r="G39" s="5"/>
      <c r="H39" s="5"/>
      <c r="I39" s="5"/>
      <c r="J39" s="5"/>
      <c r="K39" s="5"/>
      <c r="L39" s="5"/>
      <c r="M39" s="5"/>
      <c r="N39" s="56"/>
    </row>
    <row r="40" spans="1:14" s="55" customFormat="1">
      <c r="A40" s="5"/>
      <c r="B40" s="67"/>
      <c r="C40" s="68"/>
      <c r="D40" s="5"/>
      <c r="E40" s="5"/>
      <c r="F40" s="5"/>
      <c r="G40" s="5"/>
      <c r="H40" s="5"/>
      <c r="I40" s="5"/>
      <c r="J40" s="5"/>
      <c r="K40" s="5"/>
      <c r="L40" s="5"/>
      <c r="M40" s="5"/>
      <c r="N40" s="56"/>
    </row>
    <row r="41" spans="1:14" s="55" customFormat="1">
      <c r="A41" s="55" t="s">
        <v>59</v>
      </c>
      <c r="B41" s="67"/>
      <c r="C41" s="68"/>
      <c r="D41" s="5"/>
      <c r="E41" s="5"/>
      <c r="F41" s="5"/>
      <c r="G41" s="5"/>
      <c r="H41" s="5"/>
      <c r="I41" s="5"/>
      <c r="J41" s="5"/>
      <c r="K41" s="5"/>
      <c r="L41" s="5"/>
      <c r="M41" s="5"/>
      <c r="N41" s="56"/>
    </row>
    <row r="42" spans="1:14" s="55" customFormat="1">
      <c r="A42" s="5" t="s">
        <v>60</v>
      </c>
      <c r="B42" s="67">
        <v>-2000</v>
      </c>
      <c r="C42" s="67">
        <v>-2000</v>
      </c>
      <c r="D42" s="67">
        <v>-2000</v>
      </c>
      <c r="E42" s="67">
        <v>-2000</v>
      </c>
      <c r="F42" s="67">
        <v>-2000</v>
      </c>
      <c r="G42" s="67">
        <v>-2000</v>
      </c>
      <c r="H42" s="67">
        <v>-2000</v>
      </c>
      <c r="I42" s="67">
        <v>-2000</v>
      </c>
      <c r="J42" s="67">
        <v>-2000</v>
      </c>
      <c r="K42" s="67">
        <v>-2000</v>
      </c>
      <c r="L42" s="67">
        <v>-2000</v>
      </c>
      <c r="M42" s="67">
        <v>-2000</v>
      </c>
      <c r="N42" s="63">
        <f>SUM(B42:M42)</f>
        <v>-24000</v>
      </c>
    </row>
    <row r="43" spans="1:14">
      <c r="A43" s="5" t="s">
        <v>61</v>
      </c>
      <c r="B43" s="67">
        <f>-16006*0.5</f>
        <v>-8003</v>
      </c>
      <c r="C43" s="67">
        <f t="shared" ref="C43:M43" si="12">-16006*0.5</f>
        <v>-8003</v>
      </c>
      <c r="D43" s="67">
        <f t="shared" si="12"/>
        <v>-8003</v>
      </c>
      <c r="E43" s="67">
        <f t="shared" si="12"/>
        <v>-8003</v>
      </c>
      <c r="F43" s="67">
        <f t="shared" si="12"/>
        <v>-8003</v>
      </c>
      <c r="G43" s="67">
        <f t="shared" si="12"/>
        <v>-8003</v>
      </c>
      <c r="H43" s="67">
        <f t="shared" si="12"/>
        <v>-8003</v>
      </c>
      <c r="I43" s="67">
        <f t="shared" si="12"/>
        <v>-8003</v>
      </c>
      <c r="J43" s="67">
        <f t="shared" si="12"/>
        <v>-8003</v>
      </c>
      <c r="K43" s="67">
        <f t="shared" si="12"/>
        <v>-8003</v>
      </c>
      <c r="L43" s="67">
        <f t="shared" si="12"/>
        <v>-8003</v>
      </c>
      <c r="M43" s="67">
        <f t="shared" si="12"/>
        <v>-8003</v>
      </c>
      <c r="N43" s="63">
        <f t="shared" ref="N43:N68" si="13">SUM(B43:M43)</f>
        <v>-96036</v>
      </c>
    </row>
    <row r="44" spans="1:14">
      <c r="A44" s="5" t="s">
        <v>62</v>
      </c>
      <c r="B44" s="67">
        <f>-2500*0.5</f>
        <v>-1250</v>
      </c>
      <c r="C44" s="67">
        <f t="shared" ref="C44:M44" si="14">-2500*0.5</f>
        <v>-1250</v>
      </c>
      <c r="D44" s="67">
        <f t="shared" si="14"/>
        <v>-1250</v>
      </c>
      <c r="E44" s="67">
        <f t="shared" si="14"/>
        <v>-1250</v>
      </c>
      <c r="F44" s="67">
        <f t="shared" si="14"/>
        <v>-1250</v>
      </c>
      <c r="G44" s="67">
        <f t="shared" si="14"/>
        <v>-1250</v>
      </c>
      <c r="H44" s="67">
        <f t="shared" si="14"/>
        <v>-1250</v>
      </c>
      <c r="I44" s="67">
        <f t="shared" si="14"/>
        <v>-1250</v>
      </c>
      <c r="J44" s="67">
        <f t="shared" si="14"/>
        <v>-1250</v>
      </c>
      <c r="K44" s="67">
        <f t="shared" si="14"/>
        <v>-1250</v>
      </c>
      <c r="L44" s="67">
        <f t="shared" si="14"/>
        <v>-1250</v>
      </c>
      <c r="M44" s="67">
        <f t="shared" si="14"/>
        <v>-1250</v>
      </c>
      <c r="N44" s="63">
        <f t="shared" si="13"/>
        <v>-15000</v>
      </c>
    </row>
    <row r="45" spans="1:14">
      <c r="A45" s="5" t="s">
        <v>63</v>
      </c>
      <c r="B45" s="67">
        <f>-1200*0.5</f>
        <v>-600</v>
      </c>
      <c r="C45" s="67">
        <f t="shared" ref="C45:M45" si="15">-1200*0.5</f>
        <v>-600</v>
      </c>
      <c r="D45" s="67">
        <f t="shared" si="15"/>
        <v>-600</v>
      </c>
      <c r="E45" s="67">
        <f t="shared" si="15"/>
        <v>-600</v>
      </c>
      <c r="F45" s="67">
        <f t="shared" si="15"/>
        <v>-600</v>
      </c>
      <c r="G45" s="67">
        <f t="shared" si="15"/>
        <v>-600</v>
      </c>
      <c r="H45" s="67">
        <f t="shared" si="15"/>
        <v>-600</v>
      </c>
      <c r="I45" s="67">
        <f t="shared" si="15"/>
        <v>-600</v>
      </c>
      <c r="J45" s="67">
        <f t="shared" si="15"/>
        <v>-600</v>
      </c>
      <c r="K45" s="67">
        <f t="shared" si="15"/>
        <v>-600</v>
      </c>
      <c r="L45" s="67">
        <f t="shared" si="15"/>
        <v>-600</v>
      </c>
      <c r="M45" s="67">
        <f t="shared" si="15"/>
        <v>-600</v>
      </c>
      <c r="N45" s="63">
        <f t="shared" si="13"/>
        <v>-7200</v>
      </c>
    </row>
    <row r="46" spans="1:14">
      <c r="A46" s="5" t="s">
        <v>64</v>
      </c>
      <c r="B46" s="67">
        <v>-4500</v>
      </c>
      <c r="C46" s="67">
        <v>-4500</v>
      </c>
      <c r="D46" s="67">
        <v>-4500</v>
      </c>
      <c r="E46" s="67">
        <v>-4500</v>
      </c>
      <c r="F46" s="67">
        <v>-4500</v>
      </c>
      <c r="G46" s="67">
        <v>-4500</v>
      </c>
      <c r="H46" s="67">
        <v>-4500</v>
      </c>
      <c r="I46" s="67">
        <v>-4500</v>
      </c>
      <c r="J46" s="67">
        <v>-4500</v>
      </c>
      <c r="K46" s="67">
        <v>-4500</v>
      </c>
      <c r="L46" s="67">
        <v>-4500</v>
      </c>
      <c r="M46" s="67">
        <v>-4500</v>
      </c>
      <c r="N46" s="63">
        <f t="shared" si="13"/>
        <v>-54000</v>
      </c>
    </row>
    <row r="47" spans="1:14">
      <c r="A47" s="5" t="s">
        <v>65</v>
      </c>
      <c r="B47" s="67"/>
      <c r="C47" s="67">
        <v>-5000</v>
      </c>
      <c r="D47" s="67"/>
      <c r="E47" s="67"/>
      <c r="F47" s="67"/>
      <c r="G47" s="67"/>
      <c r="H47" s="67"/>
      <c r="I47" s="67"/>
      <c r="J47" s="67">
        <v>-15000</v>
      </c>
      <c r="K47" s="67"/>
      <c r="L47" s="67"/>
      <c r="M47" s="67">
        <v>-5000</v>
      </c>
      <c r="N47" s="63">
        <f t="shared" si="13"/>
        <v>-25000</v>
      </c>
    </row>
    <row r="48" spans="1:14">
      <c r="A48" s="5" t="s">
        <v>66</v>
      </c>
      <c r="B48" s="67">
        <v>-9000</v>
      </c>
      <c r="C48" s="67">
        <v>-9000</v>
      </c>
      <c r="D48" s="67">
        <v>-9000</v>
      </c>
      <c r="E48" s="67">
        <v>-9000</v>
      </c>
      <c r="F48" s="67">
        <v>-9000</v>
      </c>
      <c r="G48" s="67">
        <v>-9000</v>
      </c>
      <c r="H48" s="67">
        <v>-9000</v>
      </c>
      <c r="I48" s="67">
        <v>-9000</v>
      </c>
      <c r="J48" s="67">
        <v>-9000</v>
      </c>
      <c r="K48" s="67">
        <v>-9000</v>
      </c>
      <c r="L48" s="67">
        <v>-9000</v>
      </c>
      <c r="M48" s="67">
        <v>-9000</v>
      </c>
      <c r="N48" s="63">
        <f t="shared" si="13"/>
        <v>-108000</v>
      </c>
    </row>
    <row r="49" spans="1:14">
      <c r="A49" s="5" t="s">
        <v>67</v>
      </c>
      <c r="B49" s="67">
        <v>-1000</v>
      </c>
      <c r="C49" s="67">
        <v>-1000</v>
      </c>
      <c r="D49" s="67">
        <v>-1000</v>
      </c>
      <c r="E49" s="67">
        <v>-1000</v>
      </c>
      <c r="F49" s="67">
        <v>-1000</v>
      </c>
      <c r="G49" s="67">
        <v>-1000</v>
      </c>
      <c r="H49" s="67">
        <v>-1000</v>
      </c>
      <c r="I49" s="67">
        <v>-1000</v>
      </c>
      <c r="J49" s="67">
        <v>-1000</v>
      </c>
      <c r="K49" s="67">
        <v>-1000</v>
      </c>
      <c r="L49" s="67">
        <v>-1000</v>
      </c>
      <c r="M49" s="67">
        <v>-1000</v>
      </c>
      <c r="N49" s="63">
        <f t="shared" si="13"/>
        <v>-12000</v>
      </c>
    </row>
    <row r="50" spans="1:14">
      <c r="A50" s="5" t="s">
        <v>68</v>
      </c>
      <c r="B50" s="67">
        <v>-1000</v>
      </c>
      <c r="C50" s="67">
        <v>-1000</v>
      </c>
      <c r="D50" s="67">
        <v>-1000</v>
      </c>
      <c r="E50" s="67">
        <v>-1000</v>
      </c>
      <c r="F50" s="67">
        <v>-1000</v>
      </c>
      <c r="G50" s="67">
        <v>-1000</v>
      </c>
      <c r="H50" s="67">
        <v>-1000</v>
      </c>
      <c r="I50" s="67">
        <v>-1000</v>
      </c>
      <c r="J50" s="67">
        <v>-1000</v>
      </c>
      <c r="K50" s="67">
        <v>-1000</v>
      </c>
      <c r="L50" s="67">
        <v>-1000</v>
      </c>
      <c r="M50" s="67">
        <v>-1000</v>
      </c>
      <c r="N50" s="63">
        <f t="shared" si="13"/>
        <v>-12000</v>
      </c>
    </row>
    <row r="51" spans="1:14">
      <c r="A51" s="5" t="s">
        <v>69</v>
      </c>
      <c r="B51" s="67">
        <v>-2000</v>
      </c>
      <c r="C51" s="67">
        <v>-2000</v>
      </c>
      <c r="D51" s="67">
        <v>-2000</v>
      </c>
      <c r="E51" s="67">
        <v>-2000</v>
      </c>
      <c r="F51" s="67">
        <v>-2000</v>
      </c>
      <c r="G51" s="67">
        <v>-2000</v>
      </c>
      <c r="H51" s="67">
        <v>-2000</v>
      </c>
      <c r="I51" s="67">
        <v>-2000</v>
      </c>
      <c r="J51" s="67">
        <v>-2000</v>
      </c>
      <c r="K51" s="67">
        <v>-2000</v>
      </c>
      <c r="L51" s="67">
        <v>-2000</v>
      </c>
      <c r="M51" s="67">
        <v>-2000</v>
      </c>
      <c r="N51" s="63">
        <f>SUM(B51:M51)</f>
        <v>-24000</v>
      </c>
    </row>
    <row r="52" spans="1:14">
      <c r="A52" s="5" t="s">
        <v>70</v>
      </c>
      <c r="B52" s="67">
        <v>-150</v>
      </c>
      <c r="C52" s="67">
        <v>-150</v>
      </c>
      <c r="D52" s="67">
        <v>-150</v>
      </c>
      <c r="E52" s="67">
        <v>-150</v>
      </c>
      <c r="F52" s="67">
        <v>-150</v>
      </c>
      <c r="G52" s="67">
        <v>-150</v>
      </c>
      <c r="H52" s="67">
        <v>-150</v>
      </c>
      <c r="I52" s="67">
        <v>-150</v>
      </c>
      <c r="J52" s="67">
        <v>-150</v>
      </c>
      <c r="K52" s="67">
        <v>-150</v>
      </c>
      <c r="L52" s="67">
        <v>-150</v>
      </c>
      <c r="M52" s="67">
        <v>-150</v>
      </c>
      <c r="N52" s="63">
        <f t="shared" si="13"/>
        <v>-1800</v>
      </c>
    </row>
    <row r="53" spans="1:14">
      <c r="A53" s="5" t="s">
        <v>71</v>
      </c>
      <c r="B53" s="67">
        <v>-10000</v>
      </c>
      <c r="C53" s="67">
        <v>-10000</v>
      </c>
      <c r="D53" s="67">
        <v>-10000</v>
      </c>
      <c r="E53" s="67">
        <v>-10000</v>
      </c>
      <c r="F53" s="67">
        <v>-10000</v>
      </c>
      <c r="G53" s="67">
        <v>-10000</v>
      </c>
      <c r="H53" s="67">
        <v>-10000</v>
      </c>
      <c r="I53" s="67">
        <v>-10000</v>
      </c>
      <c r="J53" s="67">
        <v>-10000</v>
      </c>
      <c r="K53" s="67">
        <v>-10000</v>
      </c>
      <c r="L53" s="67">
        <v>-10000</v>
      </c>
      <c r="M53" s="67">
        <v>-10000</v>
      </c>
      <c r="N53" s="63">
        <f t="shared" si="13"/>
        <v>-120000</v>
      </c>
    </row>
    <row r="54" spans="1:14">
      <c r="A54" s="5" t="s">
        <v>72</v>
      </c>
      <c r="B54" s="67">
        <v>-4000</v>
      </c>
      <c r="C54" s="67">
        <v>-4000</v>
      </c>
      <c r="D54" s="67">
        <v>-4000</v>
      </c>
      <c r="E54" s="67">
        <v>-4000</v>
      </c>
      <c r="F54" s="67">
        <v>-4000</v>
      </c>
      <c r="G54" s="67">
        <v>-4000</v>
      </c>
      <c r="H54" s="67">
        <v>-4000</v>
      </c>
      <c r="I54" s="67">
        <v>-4000</v>
      </c>
      <c r="J54" s="67">
        <v>-4000</v>
      </c>
      <c r="K54" s="67">
        <v>-4000</v>
      </c>
      <c r="L54" s="67">
        <v>-4000</v>
      </c>
      <c r="M54" s="67">
        <v>-4000</v>
      </c>
      <c r="N54" s="63">
        <f t="shared" si="13"/>
        <v>-48000</v>
      </c>
    </row>
    <row r="55" spans="1:14">
      <c r="A55" s="5" t="s">
        <v>73</v>
      </c>
      <c r="B55" s="67">
        <v>-4500</v>
      </c>
      <c r="C55" s="67">
        <v>-4500</v>
      </c>
      <c r="D55" s="67">
        <v>-4500</v>
      </c>
      <c r="E55" s="67">
        <v>-4500</v>
      </c>
      <c r="F55" s="67">
        <v>-4500</v>
      </c>
      <c r="G55" s="67">
        <v>-4500</v>
      </c>
      <c r="H55" s="67">
        <v>-4500</v>
      </c>
      <c r="I55" s="67">
        <v>-4500</v>
      </c>
      <c r="J55" s="67">
        <v>-4500</v>
      </c>
      <c r="K55" s="67">
        <v>-4500</v>
      </c>
      <c r="L55" s="67">
        <v>-4500</v>
      </c>
      <c r="M55" s="67">
        <v>-4500</v>
      </c>
      <c r="N55" s="63">
        <f t="shared" si="13"/>
        <v>-54000</v>
      </c>
    </row>
    <row r="56" spans="1:14">
      <c r="A56" s="5" t="s">
        <v>74</v>
      </c>
      <c r="B56" s="67">
        <v>-2500</v>
      </c>
      <c r="C56" s="67">
        <v>-2500</v>
      </c>
      <c r="D56" s="67">
        <v>-2500</v>
      </c>
      <c r="E56" s="67">
        <v>-2500</v>
      </c>
      <c r="F56" s="67">
        <v>-2500</v>
      </c>
      <c r="G56" s="67">
        <v>-2500</v>
      </c>
      <c r="H56" s="67">
        <v>-2500</v>
      </c>
      <c r="I56" s="67">
        <v>-2500</v>
      </c>
      <c r="J56" s="67">
        <v>-2500</v>
      </c>
      <c r="K56" s="67">
        <v>-2500</v>
      </c>
      <c r="L56" s="67">
        <v>-2500</v>
      </c>
      <c r="M56" s="67">
        <v>-2500</v>
      </c>
      <c r="N56" s="63">
        <f t="shared" si="13"/>
        <v>-30000</v>
      </c>
    </row>
    <row r="57" spans="1:14">
      <c r="A57" s="5" t="s">
        <v>75</v>
      </c>
      <c r="B57" s="67">
        <v>-500</v>
      </c>
      <c r="C57" s="67">
        <v>-500</v>
      </c>
      <c r="D57" s="67">
        <v>-500</v>
      </c>
      <c r="E57" s="67">
        <v>-500</v>
      </c>
      <c r="F57" s="67">
        <v>-500</v>
      </c>
      <c r="G57" s="67">
        <v>-500</v>
      </c>
      <c r="H57" s="67">
        <v>-500</v>
      </c>
      <c r="I57" s="67">
        <v>-500</v>
      </c>
      <c r="J57" s="67">
        <v>-500</v>
      </c>
      <c r="K57" s="67">
        <v>-500</v>
      </c>
      <c r="L57" s="67">
        <v>-500</v>
      </c>
      <c r="M57" s="67">
        <v>-500</v>
      </c>
      <c r="N57" s="63">
        <f t="shared" si="13"/>
        <v>-6000</v>
      </c>
    </row>
    <row r="58" spans="1:14">
      <c r="A58" s="5" t="s">
        <v>76</v>
      </c>
      <c r="B58" s="67">
        <v>-2200</v>
      </c>
      <c r="C58" s="67">
        <v>-2200</v>
      </c>
      <c r="D58" s="67">
        <v>-2200</v>
      </c>
      <c r="E58" s="67">
        <v>-2200</v>
      </c>
      <c r="F58" s="67">
        <v>-2200</v>
      </c>
      <c r="G58" s="67">
        <v>-2200</v>
      </c>
      <c r="H58" s="67">
        <v>-2200</v>
      </c>
      <c r="I58" s="67">
        <v>-2200</v>
      </c>
      <c r="J58" s="67">
        <v>-2200</v>
      </c>
      <c r="K58" s="67">
        <v>-2200</v>
      </c>
      <c r="L58" s="67">
        <v>-2200</v>
      </c>
      <c r="M58" s="67">
        <v>-2200</v>
      </c>
      <c r="N58" s="63">
        <f t="shared" si="13"/>
        <v>-26400</v>
      </c>
    </row>
    <row r="59" spans="1:14">
      <c r="A59" s="5" t="s">
        <v>77</v>
      </c>
      <c r="B59" s="67">
        <v>-500</v>
      </c>
      <c r="C59" s="67">
        <v>-500</v>
      </c>
      <c r="D59" s="67">
        <v>-500</v>
      </c>
      <c r="E59" s="67">
        <v>-500</v>
      </c>
      <c r="F59" s="67">
        <v>-500</v>
      </c>
      <c r="G59" s="67">
        <v>-500</v>
      </c>
      <c r="H59" s="67">
        <v>-500</v>
      </c>
      <c r="I59" s="67">
        <v>-500</v>
      </c>
      <c r="J59" s="67">
        <v>-500</v>
      </c>
      <c r="K59" s="67">
        <v>-500</v>
      </c>
      <c r="L59" s="67">
        <v>-500</v>
      </c>
      <c r="M59" s="67">
        <v>-500</v>
      </c>
      <c r="N59" s="63">
        <f t="shared" si="13"/>
        <v>-6000</v>
      </c>
    </row>
    <row r="60" spans="1:14">
      <c r="A60" s="5" t="s">
        <v>78</v>
      </c>
      <c r="B60" s="67">
        <v>-750</v>
      </c>
      <c r="C60" s="67">
        <v>-750</v>
      </c>
      <c r="D60" s="67">
        <v>-750</v>
      </c>
      <c r="E60" s="67">
        <v>-750</v>
      </c>
      <c r="F60" s="67">
        <v>-750</v>
      </c>
      <c r="G60" s="67">
        <v>-750</v>
      </c>
      <c r="H60" s="67">
        <v>-750</v>
      </c>
      <c r="I60" s="67">
        <v>-750</v>
      </c>
      <c r="J60" s="67">
        <v>-750</v>
      </c>
      <c r="K60" s="67">
        <v>-750</v>
      </c>
      <c r="L60" s="67">
        <v>-750</v>
      </c>
      <c r="M60" s="67">
        <v>-750</v>
      </c>
      <c r="N60" s="63">
        <f t="shared" si="13"/>
        <v>-9000</v>
      </c>
    </row>
    <row r="61" spans="1:14">
      <c r="A61" s="5" t="s">
        <v>79</v>
      </c>
      <c r="B61" s="67">
        <v>-650</v>
      </c>
      <c r="C61" s="67">
        <v>-650</v>
      </c>
      <c r="D61" s="67">
        <v>-650</v>
      </c>
      <c r="E61" s="67">
        <v>-650</v>
      </c>
      <c r="F61" s="67">
        <v>-650</v>
      </c>
      <c r="G61" s="67">
        <v>-650</v>
      </c>
      <c r="H61" s="67">
        <v>-650</v>
      </c>
      <c r="I61" s="67">
        <v>-650</v>
      </c>
      <c r="J61" s="67">
        <v>-650</v>
      </c>
      <c r="K61" s="67">
        <v>-650</v>
      </c>
      <c r="L61" s="67">
        <v>-650</v>
      </c>
      <c r="M61" s="67">
        <v>-650</v>
      </c>
      <c r="N61" s="63">
        <f t="shared" si="13"/>
        <v>-7800</v>
      </c>
    </row>
    <row r="62" spans="1:14">
      <c r="A62" s="5" t="s">
        <v>80</v>
      </c>
      <c r="B62" s="67">
        <v>-2500</v>
      </c>
      <c r="C62" s="67">
        <v>-2500</v>
      </c>
      <c r="D62" s="67">
        <v>-2500</v>
      </c>
      <c r="E62" s="67">
        <v>-2500</v>
      </c>
      <c r="F62" s="67">
        <v>-2500</v>
      </c>
      <c r="G62" s="67">
        <v>-2500</v>
      </c>
      <c r="H62" s="67">
        <v>-2500</v>
      </c>
      <c r="I62" s="67">
        <v>-2500</v>
      </c>
      <c r="J62" s="67">
        <v>-2500</v>
      </c>
      <c r="K62" s="67">
        <v>-2500</v>
      </c>
      <c r="L62" s="67">
        <v>-2500</v>
      </c>
      <c r="M62" s="67">
        <v>-2500</v>
      </c>
      <c r="N62" s="63">
        <f t="shared" si="13"/>
        <v>-30000</v>
      </c>
    </row>
    <row r="63" spans="1:14">
      <c r="A63" s="5" t="s">
        <v>81</v>
      </c>
      <c r="B63" s="67">
        <v>-1500</v>
      </c>
      <c r="C63" s="67">
        <v>-1500</v>
      </c>
      <c r="D63" s="67">
        <v>-1500</v>
      </c>
      <c r="E63" s="67">
        <v>-1500</v>
      </c>
      <c r="F63" s="67">
        <v>-1500</v>
      </c>
      <c r="G63" s="67">
        <v>-1500</v>
      </c>
      <c r="H63" s="67">
        <v>-1500</v>
      </c>
      <c r="I63" s="67">
        <v>-1500</v>
      </c>
      <c r="J63" s="67">
        <v>-1500</v>
      </c>
      <c r="K63" s="67">
        <v>-1500</v>
      </c>
      <c r="L63" s="67">
        <v>-1500</v>
      </c>
      <c r="M63" s="67">
        <v>-1500</v>
      </c>
      <c r="N63" s="63">
        <f t="shared" si="13"/>
        <v>-18000</v>
      </c>
    </row>
    <row r="64" spans="1:14">
      <c r="A64" s="5" t="s">
        <v>82</v>
      </c>
      <c r="B64" s="67">
        <v>-2000</v>
      </c>
      <c r="C64" s="67">
        <v>-2000</v>
      </c>
      <c r="D64" s="67">
        <v>-2000</v>
      </c>
      <c r="E64" s="67">
        <v>-2000</v>
      </c>
      <c r="F64" s="67">
        <v>-2000</v>
      </c>
      <c r="G64" s="67">
        <v>-2000</v>
      </c>
      <c r="H64" s="67">
        <v>-2000</v>
      </c>
      <c r="I64" s="67">
        <v>-2000</v>
      </c>
      <c r="J64" s="67">
        <v>-2000</v>
      </c>
      <c r="K64" s="67">
        <v>-2000</v>
      </c>
      <c r="L64" s="67">
        <v>-2000</v>
      </c>
      <c r="M64" s="67">
        <v>-2000</v>
      </c>
      <c r="N64" s="63">
        <f t="shared" si="13"/>
        <v>-24000</v>
      </c>
    </row>
    <row r="65" spans="1:14">
      <c r="A65" s="5" t="s">
        <v>83</v>
      </c>
      <c r="B65" s="67">
        <v>-2000</v>
      </c>
      <c r="C65" s="67">
        <v>-2000</v>
      </c>
      <c r="D65" s="67">
        <v>-2000</v>
      </c>
      <c r="E65" s="67">
        <v>-2000</v>
      </c>
      <c r="F65" s="67">
        <v>-2000</v>
      </c>
      <c r="G65" s="67">
        <v>-2000</v>
      </c>
      <c r="H65" s="67">
        <v>-2000</v>
      </c>
      <c r="I65" s="67">
        <v>-2000</v>
      </c>
      <c r="J65" s="67">
        <v>-2000</v>
      </c>
      <c r="K65" s="67">
        <v>-2000</v>
      </c>
      <c r="L65" s="67">
        <v>-2000</v>
      </c>
      <c r="M65" s="67">
        <v>-2000</v>
      </c>
      <c r="N65" s="63">
        <f t="shared" si="13"/>
        <v>-24000</v>
      </c>
    </row>
    <row r="66" spans="1:14">
      <c r="A66" s="5" t="s">
        <v>84</v>
      </c>
      <c r="B66" s="67">
        <v>-200</v>
      </c>
      <c r="C66" s="67">
        <v>-200</v>
      </c>
      <c r="D66" s="67">
        <v>-200</v>
      </c>
      <c r="E66" s="67">
        <v>-200</v>
      </c>
      <c r="F66" s="67">
        <v>-200</v>
      </c>
      <c r="G66" s="67">
        <v>-200</v>
      </c>
      <c r="H66" s="67">
        <v>-200</v>
      </c>
      <c r="I66" s="67">
        <v>-200</v>
      </c>
      <c r="J66" s="67">
        <v>-200</v>
      </c>
      <c r="K66" s="67">
        <v>-200</v>
      </c>
      <c r="L66" s="67">
        <v>-200</v>
      </c>
      <c r="M66" s="67">
        <v>-200</v>
      </c>
      <c r="N66" s="63">
        <f>SUM(B66:M66)</f>
        <v>-2400</v>
      </c>
    </row>
    <row r="67" spans="1:14">
      <c r="A67" s="5" t="s">
        <v>85</v>
      </c>
      <c r="B67" s="67">
        <v>-200</v>
      </c>
      <c r="C67" s="67">
        <v>-200</v>
      </c>
      <c r="D67" s="67">
        <v>-200</v>
      </c>
      <c r="E67" s="67">
        <v>-200</v>
      </c>
      <c r="F67" s="67">
        <v>-200</v>
      </c>
      <c r="G67" s="67">
        <v>-200</v>
      </c>
      <c r="H67" s="67">
        <v>-200</v>
      </c>
      <c r="I67" s="67">
        <v>-200</v>
      </c>
      <c r="J67" s="67">
        <v>-200</v>
      </c>
      <c r="K67" s="67">
        <v>-200</v>
      </c>
      <c r="L67" s="67">
        <v>-200</v>
      </c>
      <c r="M67" s="67">
        <v>-200</v>
      </c>
      <c r="N67" s="63">
        <f t="shared" si="13"/>
        <v>-2400</v>
      </c>
    </row>
    <row r="68" spans="1:14">
      <c r="A68" s="5" t="s">
        <v>86</v>
      </c>
      <c r="B68" s="67">
        <v>-1000</v>
      </c>
      <c r="C68" s="67">
        <v>-1000</v>
      </c>
      <c r="D68" s="67">
        <v>-1000</v>
      </c>
      <c r="E68" s="67">
        <v>-1000</v>
      </c>
      <c r="F68" s="67">
        <v>-1000</v>
      </c>
      <c r="G68" s="67">
        <v>-1000</v>
      </c>
      <c r="H68" s="67">
        <v>-1000</v>
      </c>
      <c r="I68" s="67">
        <v>-1000</v>
      </c>
      <c r="J68" s="67">
        <v>-1000</v>
      </c>
      <c r="K68" s="67">
        <v>-1000</v>
      </c>
      <c r="L68" s="67">
        <v>-1000</v>
      </c>
      <c r="M68" s="67">
        <v>-1000</v>
      </c>
      <c r="N68" s="63">
        <f t="shared" si="13"/>
        <v>-12000</v>
      </c>
    </row>
    <row r="69" spans="1:14">
      <c r="A69" s="5" t="s">
        <v>87</v>
      </c>
      <c r="B69" s="67">
        <v>-1700</v>
      </c>
      <c r="C69" s="67">
        <v>-1700</v>
      </c>
      <c r="D69" s="67">
        <v>-1700</v>
      </c>
      <c r="E69" s="67">
        <v>-1700</v>
      </c>
      <c r="F69" s="67">
        <v>-1700</v>
      </c>
      <c r="G69" s="67">
        <v>-1700</v>
      </c>
      <c r="H69" s="67">
        <v>-1700</v>
      </c>
      <c r="I69" s="67">
        <v>-1700</v>
      </c>
      <c r="J69" s="67">
        <v>-1700</v>
      </c>
      <c r="K69" s="67">
        <v>-1700</v>
      </c>
      <c r="L69" s="67">
        <v>-1700</v>
      </c>
      <c r="M69" s="67">
        <v>-1700</v>
      </c>
      <c r="N69" s="63">
        <f>SUM(B69:M69)</f>
        <v>-20400</v>
      </c>
    </row>
    <row r="70" spans="1:14">
      <c r="A70" s="5" t="s">
        <v>88</v>
      </c>
      <c r="B70" s="67">
        <v>-1000</v>
      </c>
      <c r="C70" s="67">
        <v>-1000</v>
      </c>
      <c r="D70" s="67">
        <v>-1000</v>
      </c>
      <c r="E70" s="67">
        <v>-1000</v>
      </c>
      <c r="F70" s="67">
        <v>-1000</v>
      </c>
      <c r="G70" s="67">
        <v>-1000</v>
      </c>
      <c r="H70" s="67">
        <v>-1000</v>
      </c>
      <c r="I70" s="67">
        <v>-1000</v>
      </c>
      <c r="J70" s="67">
        <v>-1000</v>
      </c>
      <c r="K70" s="67">
        <v>-1000</v>
      </c>
      <c r="L70" s="67">
        <v>-1000</v>
      </c>
      <c r="M70" s="67">
        <v>-1000</v>
      </c>
      <c r="N70" s="63">
        <f>SUM(B70:M70)</f>
        <v>-12000</v>
      </c>
    </row>
    <row r="71" spans="1:14">
      <c r="A71" s="5" t="s">
        <v>89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>
        <v>-50000</v>
      </c>
      <c r="N71" s="74">
        <f>SUM(B71:M71)</f>
        <v>-50000</v>
      </c>
    </row>
    <row r="72" spans="1:14">
      <c r="A72" s="65" t="s">
        <v>90</v>
      </c>
      <c r="B72" s="66">
        <f t="shared" ref="B72:N72" si="16">SUM(B42:B71)</f>
        <v>-67203</v>
      </c>
      <c r="C72" s="66">
        <f t="shared" si="16"/>
        <v>-72203</v>
      </c>
      <c r="D72" s="66">
        <f t="shared" si="16"/>
        <v>-67203</v>
      </c>
      <c r="E72" s="66">
        <f t="shared" si="16"/>
        <v>-67203</v>
      </c>
      <c r="F72" s="66">
        <f t="shared" si="16"/>
        <v>-67203</v>
      </c>
      <c r="G72" s="66">
        <f t="shared" si="16"/>
        <v>-67203</v>
      </c>
      <c r="H72" s="66">
        <f t="shared" si="16"/>
        <v>-67203</v>
      </c>
      <c r="I72" s="66">
        <f t="shared" si="16"/>
        <v>-67203</v>
      </c>
      <c r="J72" s="66">
        <f t="shared" si="16"/>
        <v>-82203</v>
      </c>
      <c r="K72" s="66">
        <f t="shared" si="16"/>
        <v>-67203</v>
      </c>
      <c r="L72" s="66">
        <f t="shared" si="16"/>
        <v>-67203</v>
      </c>
      <c r="M72" s="66">
        <f t="shared" si="16"/>
        <v>-122203</v>
      </c>
      <c r="N72" s="66">
        <f t="shared" si="16"/>
        <v>-881436</v>
      </c>
    </row>
    <row r="73" spans="1:14">
      <c r="B73" s="67"/>
      <c r="C73" s="67"/>
      <c r="N73" s="56"/>
    </row>
    <row r="74" spans="1:14">
      <c r="B74" s="67"/>
      <c r="C74" s="67"/>
      <c r="N74" s="56"/>
    </row>
    <row r="75" spans="1:14">
      <c r="A75" s="55" t="s">
        <v>91</v>
      </c>
      <c r="B75" s="67"/>
      <c r="C75" s="67"/>
      <c r="N75" s="56"/>
    </row>
    <row r="76" spans="1:14">
      <c r="A76" s="5" t="s">
        <v>92</v>
      </c>
      <c r="B76" s="67">
        <v>1900</v>
      </c>
      <c r="C76" s="67">
        <v>1900</v>
      </c>
      <c r="D76" s="67">
        <v>1900</v>
      </c>
      <c r="E76" s="67">
        <v>1900</v>
      </c>
      <c r="F76" s="67">
        <v>1900</v>
      </c>
      <c r="G76" s="67">
        <v>1900</v>
      </c>
      <c r="H76" s="67">
        <v>1900</v>
      </c>
      <c r="I76" s="67">
        <v>1900</v>
      </c>
      <c r="J76" s="67">
        <v>1900</v>
      </c>
      <c r="K76" s="67">
        <v>1900</v>
      </c>
      <c r="L76" s="67">
        <v>1900</v>
      </c>
      <c r="M76" s="67">
        <v>1900</v>
      </c>
      <c r="N76" s="63">
        <f>SUM(B76:M76)</f>
        <v>22800</v>
      </c>
    </row>
    <row r="77" spans="1:14">
      <c r="A77" s="5" t="s">
        <v>93</v>
      </c>
      <c r="B77" s="67">
        <v>500</v>
      </c>
      <c r="C77" s="67">
        <v>500</v>
      </c>
      <c r="D77" s="67">
        <v>500</v>
      </c>
      <c r="E77" s="67">
        <v>500</v>
      </c>
      <c r="F77" s="67">
        <v>500</v>
      </c>
      <c r="G77" s="67">
        <v>500</v>
      </c>
      <c r="H77" s="67">
        <v>500</v>
      </c>
      <c r="I77" s="67">
        <v>500</v>
      </c>
      <c r="J77" s="67">
        <v>500</v>
      </c>
      <c r="K77" s="67">
        <v>500</v>
      </c>
      <c r="L77" s="67">
        <v>500</v>
      </c>
      <c r="M77" s="67">
        <v>500</v>
      </c>
      <c r="N77" s="63">
        <f>SUM(B77:M77)</f>
        <v>6000</v>
      </c>
    </row>
    <row r="78" spans="1:14">
      <c r="A78" s="5" t="s">
        <v>94</v>
      </c>
      <c r="B78" s="67">
        <v>-4000</v>
      </c>
      <c r="C78" s="67">
        <v>-4000</v>
      </c>
      <c r="D78" s="67">
        <v>-4000</v>
      </c>
      <c r="E78" s="67">
        <v>-4000</v>
      </c>
      <c r="F78" s="67">
        <v>-4000</v>
      </c>
      <c r="G78" s="67">
        <v>-4000</v>
      </c>
      <c r="H78" s="67">
        <v>-4000</v>
      </c>
      <c r="I78" s="67">
        <v>-4000</v>
      </c>
      <c r="J78" s="67">
        <v>-4000</v>
      </c>
      <c r="K78" s="67">
        <v>-4000</v>
      </c>
      <c r="L78" s="67">
        <v>-4000</v>
      </c>
      <c r="M78" s="67">
        <v>-4000</v>
      </c>
      <c r="N78" s="63">
        <f>SUM(B78:M78)</f>
        <v>-48000</v>
      </c>
    </row>
    <row r="79" spans="1:14">
      <c r="A79" s="5" t="s">
        <v>95</v>
      </c>
      <c r="B79" s="67">
        <v>0</v>
      </c>
      <c r="C79" s="67">
        <v>0</v>
      </c>
      <c r="D79" s="67">
        <v>0</v>
      </c>
      <c r="E79" s="67">
        <v>0</v>
      </c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3">
        <f>SUM(B79:M79)</f>
        <v>0</v>
      </c>
    </row>
    <row r="80" spans="1:14">
      <c r="A80" s="5" t="s">
        <v>96</v>
      </c>
      <c r="B80" s="73">
        <v>-300</v>
      </c>
      <c r="C80" s="73">
        <v>-300</v>
      </c>
      <c r="D80" s="73">
        <v>-300</v>
      </c>
      <c r="E80" s="73">
        <v>-300</v>
      </c>
      <c r="F80" s="73">
        <v>-300</v>
      </c>
      <c r="G80" s="73">
        <v>-300</v>
      </c>
      <c r="H80" s="73">
        <v>-300</v>
      </c>
      <c r="I80" s="73">
        <v>-300</v>
      </c>
      <c r="J80" s="73">
        <v>-300</v>
      </c>
      <c r="K80" s="73">
        <v>-300</v>
      </c>
      <c r="L80" s="73">
        <v>-300</v>
      </c>
      <c r="M80" s="73">
        <v>-300</v>
      </c>
      <c r="N80" s="74">
        <f>SUM(B80:M80)</f>
        <v>-3600</v>
      </c>
    </row>
    <row r="81" spans="1:14">
      <c r="A81" s="65" t="s">
        <v>97</v>
      </c>
      <c r="B81" s="66">
        <f>SUM(B76:B80)</f>
        <v>-1900</v>
      </c>
      <c r="C81" s="66">
        <f t="shared" ref="C81:M81" si="17">SUM(C76:C80)</f>
        <v>-1900</v>
      </c>
      <c r="D81" s="66">
        <f t="shared" si="17"/>
        <v>-1900</v>
      </c>
      <c r="E81" s="66">
        <f>SUM(E76:E80)</f>
        <v>-1900</v>
      </c>
      <c r="F81" s="66">
        <f t="shared" si="17"/>
        <v>-1900</v>
      </c>
      <c r="G81" s="66">
        <f t="shared" si="17"/>
        <v>-1900</v>
      </c>
      <c r="H81" s="66">
        <f t="shared" si="17"/>
        <v>-1900</v>
      </c>
      <c r="I81" s="66">
        <f t="shared" si="17"/>
        <v>-1900</v>
      </c>
      <c r="J81" s="66">
        <f t="shared" si="17"/>
        <v>-1900</v>
      </c>
      <c r="K81" s="66">
        <f t="shared" si="17"/>
        <v>-1900</v>
      </c>
      <c r="L81" s="66">
        <f t="shared" si="17"/>
        <v>-1900</v>
      </c>
      <c r="M81" s="66">
        <f t="shared" si="17"/>
        <v>-1900</v>
      </c>
      <c r="N81" s="66">
        <f>SUM(N76:N80)</f>
        <v>-22800</v>
      </c>
    </row>
    <row r="82" spans="1:14">
      <c r="A82" s="61"/>
      <c r="B82" s="67"/>
      <c r="C82" s="62"/>
      <c r="N82" s="56"/>
    </row>
    <row r="83" spans="1:14"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75"/>
    </row>
    <row r="84" spans="1:14" ht="13.5" thickBot="1">
      <c r="A84" s="76" t="s">
        <v>98</v>
      </c>
      <c r="B84" s="77">
        <f t="shared" ref="B84:N84" si="18">B8+B15+B38+B72+B81</f>
        <v>-15776.300000000003</v>
      </c>
      <c r="C84" s="77">
        <f t="shared" si="18"/>
        <v>-20776.300000000003</v>
      </c>
      <c r="D84" s="77">
        <f t="shared" si="18"/>
        <v>35223.699999999997</v>
      </c>
      <c r="E84" s="77">
        <f t="shared" si="18"/>
        <v>384223.7</v>
      </c>
      <c r="F84" s="77">
        <f t="shared" si="18"/>
        <v>184223.7</v>
      </c>
      <c r="G84" s="77">
        <f t="shared" si="18"/>
        <v>-20776.300000000003</v>
      </c>
      <c r="H84" s="77">
        <f t="shared" si="18"/>
        <v>-44737.5</v>
      </c>
      <c r="I84" s="77">
        <f t="shared" si="18"/>
        <v>68223.700000000012</v>
      </c>
      <c r="J84" s="77">
        <f t="shared" si="18"/>
        <v>232223.7</v>
      </c>
      <c r="K84" s="77">
        <f t="shared" si="18"/>
        <v>452223.7</v>
      </c>
      <c r="L84" s="77">
        <f t="shared" si="18"/>
        <v>4223.6999999999971</v>
      </c>
      <c r="M84" s="77">
        <f t="shared" si="18"/>
        <v>-168276.3</v>
      </c>
      <c r="N84" s="77">
        <f t="shared" si="18"/>
        <v>1090223.2</v>
      </c>
    </row>
    <row r="85" spans="1:14" s="55" customFormat="1" ht="13.5" thickTop="1">
      <c r="A85" s="5"/>
      <c r="B85" s="67"/>
      <c r="C85" s="6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>
      <c r="B86" s="67"/>
      <c r="C86" s="78"/>
    </row>
    <row r="87" spans="1:14">
      <c r="A87" s="61"/>
      <c r="B87" s="70"/>
      <c r="C87" s="79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</row>
    <row r="88" spans="1:14">
      <c r="A88" s="61"/>
      <c r="B88" s="67"/>
      <c r="C88" s="62"/>
    </row>
    <row r="89" spans="1:14">
      <c r="B89" s="67"/>
    </row>
    <row r="90" spans="1:14">
      <c r="B90" s="67"/>
    </row>
    <row r="91" spans="1:14" s="55" customFormat="1">
      <c r="A91" s="5"/>
      <c r="B91" s="67"/>
      <c r="C91" s="6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>
      <c r="B92" s="67"/>
      <c r="C92" s="67"/>
    </row>
    <row r="93" spans="1:14">
      <c r="B93" s="67"/>
      <c r="C93" s="67"/>
    </row>
    <row r="94" spans="1:14">
      <c r="B94" s="67"/>
      <c r="C94" s="67"/>
    </row>
    <row r="95" spans="1:14">
      <c r="B95" s="67"/>
      <c r="C95" s="67"/>
    </row>
    <row r="96" spans="1:14">
      <c r="B96" s="67"/>
      <c r="C96" s="67"/>
    </row>
    <row r="97" spans="2:3">
      <c r="B97" s="67"/>
      <c r="C97" s="67"/>
    </row>
    <row r="98" spans="2:3">
      <c r="B98" s="67"/>
      <c r="C98" s="67"/>
    </row>
    <row r="99" spans="2:3">
      <c r="B99" s="67"/>
      <c r="C99" s="67"/>
    </row>
    <row r="100" spans="2:3">
      <c r="B100" s="67"/>
      <c r="C100" s="67"/>
    </row>
    <row r="101" spans="2:3">
      <c r="B101" s="67"/>
      <c r="C101" s="67"/>
    </row>
    <row r="102" spans="2:3">
      <c r="B102" s="67"/>
      <c r="C102" s="67"/>
    </row>
    <row r="103" spans="2:3">
      <c r="B103" s="67"/>
      <c r="C103" s="67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67"/>
      <c r="C108" s="67"/>
    </row>
    <row r="109" spans="2:3">
      <c r="B109" s="67"/>
      <c r="C109" s="67"/>
    </row>
    <row r="110" spans="2:3">
      <c r="B110" s="67"/>
      <c r="C110" s="67"/>
    </row>
    <row r="111" spans="2:3">
      <c r="B111" s="67"/>
      <c r="C111" s="67"/>
    </row>
    <row r="112" spans="2:3">
      <c r="B112" s="67"/>
      <c r="C112" s="67"/>
    </row>
    <row r="113" spans="2:3">
      <c r="B113" s="67"/>
      <c r="C113" s="67"/>
    </row>
    <row r="114" spans="2:3">
      <c r="B114" s="67"/>
      <c r="C114" s="67"/>
    </row>
    <row r="115" spans="2:3">
      <c r="B115" s="67"/>
      <c r="C115" s="67"/>
    </row>
    <row r="116" spans="2:3">
      <c r="B116" s="67"/>
      <c r="C116" s="67"/>
    </row>
    <row r="117" spans="2:3">
      <c r="B117" s="67"/>
      <c r="C117" s="67"/>
    </row>
    <row r="118" spans="2:3">
      <c r="B118" s="67"/>
      <c r="C118" s="67"/>
    </row>
    <row r="119" spans="2:3">
      <c r="B119" s="67"/>
      <c r="C119" s="67"/>
    </row>
    <row r="120" spans="2:3">
      <c r="B120" s="67"/>
      <c r="C120" s="67"/>
    </row>
    <row r="121" spans="2:3">
      <c r="B121" s="67"/>
      <c r="C121" s="67"/>
    </row>
    <row r="122" spans="2:3">
      <c r="B122" s="67"/>
      <c r="C122" s="67"/>
    </row>
    <row r="123" spans="2:3">
      <c r="B123" s="67"/>
      <c r="C123" s="67"/>
    </row>
    <row r="124" spans="2:3">
      <c r="B124" s="67"/>
      <c r="C124" s="67"/>
    </row>
    <row r="125" spans="2:3">
      <c r="B125" s="67"/>
      <c r="C125" s="67"/>
    </row>
    <row r="126" spans="2:3">
      <c r="B126" s="67"/>
      <c r="C126" s="67"/>
    </row>
    <row r="127" spans="2:3">
      <c r="B127" s="67"/>
      <c r="C127" s="67"/>
    </row>
    <row r="128" spans="2:3">
      <c r="B128" s="67"/>
      <c r="C128" s="67"/>
    </row>
    <row r="129" spans="2:3">
      <c r="B129" s="67"/>
      <c r="C129" s="67"/>
    </row>
    <row r="130" spans="2:3">
      <c r="B130" s="67"/>
      <c r="C130" s="67"/>
    </row>
    <row r="131" spans="2:3">
      <c r="B131" s="67"/>
      <c r="C131" s="67"/>
    </row>
    <row r="132" spans="2:3">
      <c r="B132" s="67"/>
      <c r="C132" s="67"/>
    </row>
    <row r="133" spans="2:3">
      <c r="B133" s="67"/>
      <c r="C133" s="67"/>
    </row>
    <row r="134" spans="2:3">
      <c r="B134" s="67"/>
      <c r="C134" s="67"/>
    </row>
    <row r="135" spans="2:3">
      <c r="B135" s="67"/>
      <c r="C135" s="67"/>
    </row>
    <row r="136" spans="2:3">
      <c r="B136" s="67"/>
      <c r="C136" s="67"/>
    </row>
    <row r="137" spans="2:3">
      <c r="B137" s="67"/>
      <c r="C137" s="67"/>
    </row>
    <row r="138" spans="2:3">
      <c r="B138" s="67"/>
      <c r="C138" s="67"/>
    </row>
    <row r="139" spans="2:3">
      <c r="B139" s="67"/>
      <c r="C139" s="67"/>
    </row>
    <row r="140" spans="2:3">
      <c r="B140" s="67"/>
      <c r="C140" s="67"/>
    </row>
    <row r="141" spans="2:3">
      <c r="B141" s="67"/>
      <c r="C141" s="67"/>
    </row>
    <row r="142" spans="2:3">
      <c r="B142" s="67"/>
      <c r="C142" s="67"/>
    </row>
    <row r="143" spans="2:3">
      <c r="B143" s="67"/>
      <c r="C143" s="67"/>
    </row>
    <row r="144" spans="2:3">
      <c r="B144" s="67"/>
      <c r="C144" s="67"/>
    </row>
    <row r="145" spans="1:3" s="55" customFormat="1">
      <c r="A145" s="61"/>
      <c r="B145" s="70"/>
      <c r="C145" s="70"/>
    </row>
    <row r="146" spans="1:3">
      <c r="B146" s="67"/>
    </row>
    <row r="147" spans="1:3">
      <c r="B147" s="67"/>
    </row>
  </sheetData>
  <phoneticPr fontId="0" type="noConversion"/>
  <pageMargins left="0.78740157499999996" right="0.78740157499999996" top="0.984251969" bottom="0.984251969" header="0.5" footer="0.5"/>
  <pageSetup paperSize="9" scale="76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7"/>
  <sheetViews>
    <sheetView zoomScaleNormal="100" workbookViewId="0">
      <pane xSplit="2" ySplit="7" topLeftCell="C8" activePane="bottomRight" state="frozen"/>
      <selection pane="bottomRight" activeCell="D35" sqref="D35"/>
      <selection pane="bottomLeft" activeCell="A8" sqref="A8"/>
      <selection pane="topRight" activeCell="C1" sqref="C1"/>
    </sheetView>
  </sheetViews>
  <sheetFormatPr defaultColWidth="11.42578125" defaultRowHeight="12.75"/>
  <cols>
    <col min="1" max="1" width="25.28515625" style="5" bestFit="1" customWidth="1"/>
    <col min="2" max="2" width="20.5703125" style="5" bestFit="1" customWidth="1"/>
    <col min="3" max="4" width="9.42578125" style="5" bestFit="1" customWidth="1"/>
    <col min="5" max="5" width="10.28515625" style="5" bestFit="1" customWidth="1"/>
    <col min="6" max="7" width="10.85546875" style="86" bestFit="1" customWidth="1"/>
    <col min="8" max="8" width="9.42578125" style="106" bestFit="1" customWidth="1"/>
    <col min="9" max="9" width="9.42578125" style="5" bestFit="1" customWidth="1"/>
    <col min="10" max="10" width="10.28515625" style="5" bestFit="1" customWidth="1"/>
    <col min="11" max="12" width="10.85546875" style="5" bestFit="1" customWidth="1"/>
    <col min="13" max="14" width="9.42578125" style="5" bestFit="1" customWidth="1"/>
    <col min="15" max="15" width="12" style="5" bestFit="1" customWidth="1"/>
    <col min="16" max="16384" width="11.42578125" style="5"/>
  </cols>
  <sheetData>
    <row r="1" spans="1:17">
      <c r="A1" s="81"/>
      <c r="B1" s="81"/>
      <c r="C1" s="82" t="s">
        <v>28</v>
      </c>
      <c r="D1" s="82" t="s">
        <v>12</v>
      </c>
      <c r="E1" s="82" t="s">
        <v>13</v>
      </c>
      <c r="F1" s="82" t="s">
        <v>14</v>
      </c>
      <c r="G1" s="82" t="s">
        <v>15</v>
      </c>
      <c r="H1" s="82" t="s">
        <v>16</v>
      </c>
      <c r="I1" s="82" t="s">
        <v>17</v>
      </c>
      <c r="J1" s="82" t="s">
        <v>18</v>
      </c>
      <c r="K1" s="82" t="s">
        <v>19</v>
      </c>
      <c r="L1" s="82" t="s">
        <v>20</v>
      </c>
      <c r="M1" s="82" t="s">
        <v>21</v>
      </c>
      <c r="N1" s="82" t="s">
        <v>22</v>
      </c>
      <c r="O1" s="82" t="s">
        <v>99</v>
      </c>
    </row>
    <row r="2" spans="1:17">
      <c r="A2" s="83"/>
      <c r="B2" s="58"/>
      <c r="C2" s="59"/>
      <c r="D2" s="59"/>
      <c r="E2" s="59"/>
      <c r="F2" s="59"/>
      <c r="G2" s="59"/>
      <c r="H2" s="84"/>
      <c r="I2" s="83"/>
      <c r="J2" s="58"/>
      <c r="K2" s="58"/>
      <c r="L2" s="58"/>
      <c r="M2" s="58"/>
      <c r="N2" s="58"/>
      <c r="O2" s="58"/>
    </row>
    <row r="3" spans="1:17">
      <c r="A3" s="85"/>
      <c r="B3" s="85"/>
      <c r="H3" s="87"/>
    </row>
    <row r="4" spans="1:17">
      <c r="A4" s="85" t="s">
        <v>29</v>
      </c>
      <c r="B4" s="85"/>
      <c r="C4" s="73">
        <f>Kostnadsspes.!B8</f>
        <v>781500</v>
      </c>
      <c r="D4" s="73">
        <f>Kostnadsspes.!C8</f>
        <v>781500</v>
      </c>
      <c r="E4" s="73">
        <f>Kostnadsspes.!D8</f>
        <v>1061500</v>
      </c>
      <c r="F4" s="73">
        <f>Kostnadsspes.!E8</f>
        <v>2781500</v>
      </c>
      <c r="G4" s="73">
        <f>Kostnadsspes.!F8</f>
        <v>1781500</v>
      </c>
      <c r="H4" s="73">
        <f>Kostnadsspes.!G8</f>
        <v>781500</v>
      </c>
      <c r="I4" s="73">
        <f>Kostnadsspes.!H8</f>
        <v>141500</v>
      </c>
      <c r="J4" s="73">
        <f>Kostnadsspes.!I8</f>
        <v>1201500</v>
      </c>
      <c r="K4" s="73">
        <f>Kostnadsspes.!J8</f>
        <v>2121500</v>
      </c>
      <c r="L4" s="73">
        <f>Kostnadsspes.!K8</f>
        <v>3121500</v>
      </c>
      <c r="M4" s="73">
        <f>Kostnadsspes.!L8</f>
        <v>881500</v>
      </c>
      <c r="N4" s="73">
        <f>Kostnadsspes.!M8</f>
        <v>481500</v>
      </c>
      <c r="O4" s="73">
        <f>Kostnadsspes.!N8</f>
        <v>15918000</v>
      </c>
    </row>
    <row r="5" spans="1:17" s="64" customFormat="1">
      <c r="A5" s="85"/>
      <c r="B5" s="65" t="s">
        <v>100</v>
      </c>
      <c r="C5" s="88">
        <f t="shared" ref="C5:O5" si="0">SUM(C4:C4)</f>
        <v>781500</v>
      </c>
      <c r="D5" s="88">
        <f t="shared" si="0"/>
        <v>781500</v>
      </c>
      <c r="E5" s="88">
        <f t="shared" si="0"/>
        <v>1061500</v>
      </c>
      <c r="F5" s="88">
        <f t="shared" si="0"/>
        <v>2781500</v>
      </c>
      <c r="G5" s="88">
        <f t="shared" si="0"/>
        <v>1781500</v>
      </c>
      <c r="H5" s="88">
        <f t="shared" si="0"/>
        <v>781500</v>
      </c>
      <c r="I5" s="88">
        <f t="shared" si="0"/>
        <v>141500</v>
      </c>
      <c r="J5" s="88">
        <f t="shared" si="0"/>
        <v>1201500</v>
      </c>
      <c r="K5" s="88">
        <f t="shared" si="0"/>
        <v>2121500</v>
      </c>
      <c r="L5" s="88">
        <f t="shared" si="0"/>
        <v>3121500</v>
      </c>
      <c r="M5" s="88">
        <f t="shared" si="0"/>
        <v>881500</v>
      </c>
      <c r="N5" s="88">
        <f t="shared" si="0"/>
        <v>481500</v>
      </c>
      <c r="O5" s="88">
        <f t="shared" si="0"/>
        <v>15918000</v>
      </c>
    </row>
    <row r="6" spans="1:17">
      <c r="A6" s="85"/>
      <c r="B6" s="85"/>
      <c r="C6" s="89"/>
      <c r="D6" s="46"/>
      <c r="E6" s="46"/>
      <c r="F6" s="89"/>
      <c r="G6" s="89"/>
      <c r="H6" s="90"/>
      <c r="I6" s="69"/>
    </row>
    <row r="7" spans="1:17" s="64" customFormat="1">
      <c r="A7" s="85"/>
      <c r="B7" s="85"/>
      <c r="C7" s="89"/>
      <c r="D7" s="46"/>
      <c r="E7" s="46"/>
      <c r="F7" s="89"/>
      <c r="G7" s="89"/>
      <c r="H7" s="90"/>
      <c r="I7" s="69"/>
      <c r="J7" s="5"/>
      <c r="K7" s="5"/>
      <c r="L7" s="5"/>
      <c r="M7" s="5"/>
      <c r="N7" s="5"/>
      <c r="O7" s="5"/>
    </row>
    <row r="8" spans="1:17">
      <c r="A8" s="85" t="s">
        <v>35</v>
      </c>
      <c r="B8" s="85"/>
      <c r="C8" s="73">
        <f>SUM(Kostnadsspes.!B15)</f>
        <v>-624000</v>
      </c>
      <c r="D8" s="73">
        <f>SUM(Kostnadsspes.!C15)</f>
        <v>-624000</v>
      </c>
      <c r="E8" s="73">
        <f>SUM(Kostnadsspes.!D15)</f>
        <v>-848000</v>
      </c>
      <c r="F8" s="73">
        <f>SUM(Kostnadsspes.!E15)</f>
        <v>-2224000</v>
      </c>
      <c r="G8" s="73">
        <f>SUM(Kostnadsspes.!F15)</f>
        <v>-1424000</v>
      </c>
      <c r="H8" s="73">
        <f>SUM(Kostnadsspes.!G15)</f>
        <v>-624000</v>
      </c>
      <c r="I8" s="73">
        <f>SUM(Kostnadsspes.!H15)</f>
        <v>-112000</v>
      </c>
      <c r="J8" s="73">
        <f>SUM(Kostnadsspes.!I15)</f>
        <v>-960000</v>
      </c>
      <c r="K8" s="73">
        <f>SUM(Kostnadsspes.!J15)</f>
        <v>-1696000</v>
      </c>
      <c r="L8" s="73">
        <f>SUM(Kostnadsspes.!K15)</f>
        <v>-2496000</v>
      </c>
      <c r="M8" s="73">
        <f>SUM(Kostnadsspes.!L15)</f>
        <v>-704000</v>
      </c>
      <c r="N8" s="73">
        <f>SUM(Kostnadsspes.!M15)</f>
        <v>-384000</v>
      </c>
      <c r="O8" s="73">
        <f>SUM(Kostnadsspes.!N15)</f>
        <v>-12720000</v>
      </c>
    </row>
    <row r="9" spans="1:17">
      <c r="A9" s="85"/>
      <c r="B9" s="65" t="s">
        <v>101</v>
      </c>
      <c r="C9" s="75">
        <f>SUM(C8:C8)</f>
        <v>-624000</v>
      </c>
      <c r="D9" s="75">
        <f t="shared" ref="D9:O9" si="1">SUM(D8:D8)</f>
        <v>-624000</v>
      </c>
      <c r="E9" s="75">
        <f t="shared" si="1"/>
        <v>-848000</v>
      </c>
      <c r="F9" s="75">
        <f t="shared" si="1"/>
        <v>-2224000</v>
      </c>
      <c r="G9" s="75">
        <f t="shared" si="1"/>
        <v>-1424000</v>
      </c>
      <c r="H9" s="75">
        <f t="shared" si="1"/>
        <v>-624000</v>
      </c>
      <c r="I9" s="75">
        <f t="shared" si="1"/>
        <v>-112000</v>
      </c>
      <c r="J9" s="75">
        <f t="shared" si="1"/>
        <v>-960000</v>
      </c>
      <c r="K9" s="75">
        <f t="shared" si="1"/>
        <v>-1696000</v>
      </c>
      <c r="L9" s="75">
        <f t="shared" si="1"/>
        <v>-2496000</v>
      </c>
      <c r="M9" s="75">
        <f t="shared" si="1"/>
        <v>-704000</v>
      </c>
      <c r="N9" s="75">
        <f t="shared" si="1"/>
        <v>-384000</v>
      </c>
      <c r="O9" s="75">
        <f t="shared" si="1"/>
        <v>-12720000</v>
      </c>
      <c r="Q9" s="91"/>
    </row>
    <row r="10" spans="1:17">
      <c r="A10" s="85"/>
      <c r="B10" s="85"/>
      <c r="C10" s="67"/>
      <c r="D10" s="46"/>
      <c r="E10" s="46"/>
      <c r="F10" s="67"/>
      <c r="G10" s="67"/>
      <c r="H10" s="90"/>
      <c r="I10" s="69">
        <f>F10-G10</f>
        <v>0</v>
      </c>
      <c r="Q10" s="91"/>
    </row>
    <row r="11" spans="1:17">
      <c r="A11" s="92"/>
      <c r="B11" s="65" t="s">
        <v>102</v>
      </c>
      <c r="C11" s="66">
        <f>(C5+C9)</f>
        <v>157500</v>
      </c>
      <c r="D11" s="66">
        <f t="shared" ref="D11:O11" si="2">(D5+D9)</f>
        <v>157500</v>
      </c>
      <c r="E11" s="66">
        <f t="shared" si="2"/>
        <v>213500</v>
      </c>
      <c r="F11" s="66">
        <f t="shared" si="2"/>
        <v>557500</v>
      </c>
      <c r="G11" s="66">
        <f t="shared" si="2"/>
        <v>357500</v>
      </c>
      <c r="H11" s="66">
        <f t="shared" si="2"/>
        <v>157500</v>
      </c>
      <c r="I11" s="66">
        <f t="shared" si="2"/>
        <v>29500</v>
      </c>
      <c r="J11" s="66">
        <f t="shared" si="2"/>
        <v>241500</v>
      </c>
      <c r="K11" s="66">
        <f t="shared" si="2"/>
        <v>425500</v>
      </c>
      <c r="L11" s="66">
        <f t="shared" si="2"/>
        <v>625500</v>
      </c>
      <c r="M11" s="66">
        <f t="shared" si="2"/>
        <v>177500</v>
      </c>
      <c r="N11" s="66">
        <f t="shared" si="2"/>
        <v>97500</v>
      </c>
      <c r="O11" s="66">
        <f t="shared" si="2"/>
        <v>3198000</v>
      </c>
      <c r="Q11" s="91"/>
    </row>
    <row r="12" spans="1:17">
      <c r="A12" s="85"/>
      <c r="B12" s="65" t="s">
        <v>103</v>
      </c>
      <c r="C12" s="93">
        <f>C11/C5*100</f>
        <v>20.153550863723606</v>
      </c>
      <c r="D12" s="93">
        <f t="shared" ref="D12:O12" si="3">D11/D5*100</f>
        <v>20.153550863723606</v>
      </c>
      <c r="E12" s="93">
        <f t="shared" si="3"/>
        <v>20.113047574187469</v>
      </c>
      <c r="F12" s="93">
        <f t="shared" si="3"/>
        <v>20.043142189466113</v>
      </c>
      <c r="G12" s="93">
        <f t="shared" si="3"/>
        <v>20.067358967162505</v>
      </c>
      <c r="H12" s="93">
        <f t="shared" si="3"/>
        <v>20.153550863723606</v>
      </c>
      <c r="I12" s="93">
        <f t="shared" si="3"/>
        <v>20.848056537102476</v>
      </c>
      <c r="J12" s="93">
        <f t="shared" si="3"/>
        <v>20.099875156054932</v>
      </c>
      <c r="K12" s="93">
        <f t="shared" si="3"/>
        <v>20.056563752062221</v>
      </c>
      <c r="L12" s="93">
        <f t="shared" si="3"/>
        <v>20.03844305622297</v>
      </c>
      <c r="M12" s="93">
        <f t="shared" si="3"/>
        <v>20.136131593874079</v>
      </c>
      <c r="N12" s="93">
        <f t="shared" si="3"/>
        <v>20.249221183800621</v>
      </c>
      <c r="O12" s="93">
        <f t="shared" si="3"/>
        <v>20.090463626083679</v>
      </c>
      <c r="Q12" s="91"/>
    </row>
    <row r="13" spans="1:17">
      <c r="A13" s="85"/>
      <c r="B13" s="92"/>
      <c r="C13" s="94"/>
      <c r="D13" s="95"/>
      <c r="E13" s="95"/>
      <c r="F13" s="94"/>
      <c r="G13" s="94"/>
      <c r="H13" s="96"/>
      <c r="I13" s="69">
        <f>F13-G13</f>
        <v>0</v>
      </c>
      <c r="Q13" s="91"/>
    </row>
    <row r="14" spans="1:17">
      <c r="A14" s="85" t="s">
        <v>42</v>
      </c>
      <c r="B14" s="92"/>
      <c r="C14" s="73">
        <f>SUM(Kostnadsspes.!B38)</f>
        <v>-104173.3</v>
      </c>
      <c r="D14" s="73">
        <f>SUM(Kostnadsspes.!C38)</f>
        <v>-104173.3</v>
      </c>
      <c r="E14" s="73">
        <f>SUM(Kostnadsspes.!D38)</f>
        <v>-109173.3</v>
      </c>
      <c r="F14" s="73">
        <f>SUM(Kostnadsspes.!E38)</f>
        <v>-104173.3</v>
      </c>
      <c r="G14" s="73">
        <f>SUM(Kostnadsspes.!F38)</f>
        <v>-104173.3</v>
      </c>
      <c r="H14" s="73">
        <f>SUM(Kostnadsspes.!G38)</f>
        <v>-109173.3</v>
      </c>
      <c r="I14" s="73">
        <f>SUM(Kostnadsspes.!H38)</f>
        <v>-5134.5</v>
      </c>
      <c r="J14" s="73">
        <f>SUM(Kostnadsspes.!I38)</f>
        <v>-104173.3</v>
      </c>
      <c r="K14" s="73">
        <f>SUM(Kostnadsspes.!J38)</f>
        <v>-109173.3</v>
      </c>
      <c r="L14" s="73">
        <f>SUM(Kostnadsspes.!K38)</f>
        <v>-104173.3</v>
      </c>
      <c r="M14" s="73">
        <f>SUM(Kostnadsspes.!L38)</f>
        <v>-104173.3</v>
      </c>
      <c r="N14" s="73">
        <f>SUM(Kostnadsspes.!M38)</f>
        <v>-141673.29999999999</v>
      </c>
      <c r="O14" s="73">
        <f>SUM(Kostnadsspes.!N38)</f>
        <v>-1203540.8</v>
      </c>
      <c r="Q14" s="91"/>
    </row>
    <row r="15" spans="1:17">
      <c r="A15" s="85"/>
      <c r="B15" s="65" t="s">
        <v>104</v>
      </c>
      <c r="C15" s="93">
        <f>SUM(C14)</f>
        <v>-104173.3</v>
      </c>
      <c r="D15" s="93">
        <f t="shared" ref="D15:O15" si="4">SUM(D14)</f>
        <v>-104173.3</v>
      </c>
      <c r="E15" s="93">
        <f t="shared" si="4"/>
        <v>-109173.3</v>
      </c>
      <c r="F15" s="93">
        <f t="shared" si="4"/>
        <v>-104173.3</v>
      </c>
      <c r="G15" s="93">
        <f t="shared" si="4"/>
        <v>-104173.3</v>
      </c>
      <c r="H15" s="93">
        <f t="shared" si="4"/>
        <v>-109173.3</v>
      </c>
      <c r="I15" s="93">
        <f t="shared" si="4"/>
        <v>-5134.5</v>
      </c>
      <c r="J15" s="93">
        <f t="shared" si="4"/>
        <v>-104173.3</v>
      </c>
      <c r="K15" s="93">
        <f t="shared" si="4"/>
        <v>-109173.3</v>
      </c>
      <c r="L15" s="93">
        <f t="shared" si="4"/>
        <v>-104173.3</v>
      </c>
      <c r="M15" s="93">
        <f t="shared" si="4"/>
        <v>-104173.3</v>
      </c>
      <c r="N15" s="93">
        <f t="shared" si="4"/>
        <v>-141673.29999999999</v>
      </c>
      <c r="O15" s="93">
        <f t="shared" si="4"/>
        <v>-1203540.8</v>
      </c>
      <c r="Q15" s="91"/>
    </row>
    <row r="16" spans="1:17" s="55" customFormat="1">
      <c r="A16" s="85"/>
      <c r="B16" s="92"/>
      <c r="C16" s="94"/>
      <c r="D16" s="95"/>
      <c r="E16" s="95"/>
      <c r="F16" s="94"/>
      <c r="G16" s="94"/>
      <c r="H16" s="90"/>
      <c r="I16" s="69">
        <f>F16-G16</f>
        <v>0</v>
      </c>
      <c r="J16" s="5"/>
      <c r="K16" s="5"/>
      <c r="L16" s="5"/>
      <c r="M16" s="5"/>
      <c r="N16" s="5"/>
      <c r="O16" s="5"/>
      <c r="Q16" s="91"/>
    </row>
    <row r="17" spans="1:17">
      <c r="A17" s="85"/>
      <c r="B17" s="65" t="s">
        <v>105</v>
      </c>
      <c r="C17" s="93">
        <f>C11+C15</f>
        <v>53326.7</v>
      </c>
      <c r="D17" s="93">
        <f t="shared" ref="D17:O17" si="5">D11+D15</f>
        <v>53326.7</v>
      </c>
      <c r="E17" s="93">
        <f t="shared" si="5"/>
        <v>104326.7</v>
      </c>
      <c r="F17" s="93">
        <f t="shared" si="5"/>
        <v>453326.7</v>
      </c>
      <c r="G17" s="93">
        <f t="shared" si="5"/>
        <v>253326.7</v>
      </c>
      <c r="H17" s="93">
        <f t="shared" si="5"/>
        <v>48326.7</v>
      </c>
      <c r="I17" s="93">
        <f t="shared" si="5"/>
        <v>24365.5</v>
      </c>
      <c r="J17" s="93">
        <f t="shared" si="5"/>
        <v>137326.70000000001</v>
      </c>
      <c r="K17" s="93">
        <f t="shared" si="5"/>
        <v>316326.7</v>
      </c>
      <c r="L17" s="93">
        <f t="shared" si="5"/>
        <v>521326.7</v>
      </c>
      <c r="M17" s="93">
        <f t="shared" si="5"/>
        <v>73326.7</v>
      </c>
      <c r="N17" s="93">
        <f t="shared" si="5"/>
        <v>-44173.299999999988</v>
      </c>
      <c r="O17" s="93">
        <f t="shared" si="5"/>
        <v>1994459.2</v>
      </c>
      <c r="Q17" s="91"/>
    </row>
    <row r="18" spans="1:17">
      <c r="A18" s="97"/>
      <c r="B18" s="85"/>
      <c r="C18" s="86"/>
      <c r="D18" s="46"/>
      <c r="E18" s="46"/>
      <c r="H18" s="96"/>
      <c r="I18" s="69">
        <f>F18-G18</f>
        <v>0</v>
      </c>
      <c r="Q18" s="91"/>
    </row>
    <row r="19" spans="1:17">
      <c r="A19" s="85" t="s">
        <v>59</v>
      </c>
      <c r="B19" s="85"/>
      <c r="C19" s="67">
        <f>SUM(Kostnadsspes.!B43:B71)</f>
        <v>-65203</v>
      </c>
      <c r="D19" s="67">
        <f>SUM(Kostnadsspes.!C43:C71)</f>
        <v>-70203</v>
      </c>
      <c r="E19" s="67">
        <f>SUM(Kostnadsspes.!D43:D71)</f>
        <v>-65203</v>
      </c>
      <c r="F19" s="67">
        <f>SUM(Kostnadsspes.!E43:E71)</f>
        <v>-65203</v>
      </c>
      <c r="G19" s="67">
        <f>SUM(Kostnadsspes.!F43:F71)</f>
        <v>-65203</v>
      </c>
      <c r="H19" s="67">
        <f>SUM(Kostnadsspes.!G43:G71)</f>
        <v>-65203</v>
      </c>
      <c r="I19" s="67">
        <f>SUM(Kostnadsspes.!H43:H71)</f>
        <v>-65203</v>
      </c>
      <c r="J19" s="67">
        <f>SUM(Kostnadsspes.!I43:I71)</f>
        <v>-65203</v>
      </c>
      <c r="K19" s="67">
        <f>SUM(Kostnadsspes.!J43:J71)</f>
        <v>-80203</v>
      </c>
      <c r="L19" s="67">
        <f>SUM(Kostnadsspes.!K43:K71)</f>
        <v>-65203</v>
      </c>
      <c r="M19" s="67">
        <f>SUM(Kostnadsspes.!L43:L71)</f>
        <v>-65203</v>
      </c>
      <c r="N19" s="67">
        <f>SUM(Kostnadsspes.!M43:M71)</f>
        <v>-120203</v>
      </c>
      <c r="O19" s="67">
        <f>SUM(Kostnadsspes.!N43:N71)</f>
        <v>-857436</v>
      </c>
      <c r="Q19" s="91"/>
    </row>
    <row r="20" spans="1:17">
      <c r="A20" s="85" t="s">
        <v>106</v>
      </c>
      <c r="B20" s="85"/>
      <c r="C20" s="73">
        <f>SUM(Kostnadsspes.!B42:B42)</f>
        <v>-2000</v>
      </c>
      <c r="D20" s="73">
        <f>SUM(Kostnadsspes.!C42:C42)</f>
        <v>-2000</v>
      </c>
      <c r="E20" s="73">
        <f>SUM(Kostnadsspes.!D42:D42)</f>
        <v>-2000</v>
      </c>
      <c r="F20" s="73">
        <f>SUM(Kostnadsspes.!E42:E42)</f>
        <v>-2000</v>
      </c>
      <c r="G20" s="73">
        <f>SUM(Kostnadsspes.!F42:F42)</f>
        <v>-2000</v>
      </c>
      <c r="H20" s="73">
        <f>SUM(Kostnadsspes.!G42:G42)</f>
        <v>-2000</v>
      </c>
      <c r="I20" s="73">
        <f>SUM(Kostnadsspes.!H42:H42)</f>
        <v>-2000</v>
      </c>
      <c r="J20" s="73">
        <f>SUM(Kostnadsspes.!I42:I42)</f>
        <v>-2000</v>
      </c>
      <c r="K20" s="73">
        <f>SUM(Kostnadsspes.!J42:J42)</f>
        <v>-2000</v>
      </c>
      <c r="L20" s="73">
        <f>SUM(Kostnadsspes.!K42:K42)</f>
        <v>-2000</v>
      </c>
      <c r="M20" s="73">
        <f>SUM(Kostnadsspes.!L42:L42)</f>
        <v>-2000</v>
      </c>
      <c r="N20" s="73">
        <f>SUM(Kostnadsspes.!M42:M42)</f>
        <v>-2000</v>
      </c>
      <c r="O20" s="73">
        <f>SUM(Kostnadsspes.!N42:N42)</f>
        <v>-24000</v>
      </c>
      <c r="Q20" s="91"/>
    </row>
    <row r="21" spans="1:17">
      <c r="A21" s="92"/>
      <c r="B21" s="65" t="s">
        <v>107</v>
      </c>
      <c r="C21" s="98">
        <f>SUM(C19:C20)</f>
        <v>-67203</v>
      </c>
      <c r="D21" s="98">
        <f t="shared" ref="D21:O21" si="6">SUM(D19:D20)</f>
        <v>-72203</v>
      </c>
      <c r="E21" s="98">
        <f t="shared" si="6"/>
        <v>-67203</v>
      </c>
      <c r="F21" s="98">
        <f t="shared" si="6"/>
        <v>-67203</v>
      </c>
      <c r="G21" s="98">
        <f t="shared" si="6"/>
        <v>-67203</v>
      </c>
      <c r="H21" s="98">
        <f t="shared" si="6"/>
        <v>-67203</v>
      </c>
      <c r="I21" s="98">
        <f t="shared" si="6"/>
        <v>-67203</v>
      </c>
      <c r="J21" s="98">
        <f t="shared" si="6"/>
        <v>-67203</v>
      </c>
      <c r="K21" s="98">
        <f t="shared" si="6"/>
        <v>-82203</v>
      </c>
      <c r="L21" s="98">
        <f t="shared" si="6"/>
        <v>-67203</v>
      </c>
      <c r="M21" s="98">
        <f t="shared" si="6"/>
        <v>-67203</v>
      </c>
      <c r="N21" s="98">
        <f t="shared" si="6"/>
        <v>-122203</v>
      </c>
      <c r="O21" s="98">
        <f t="shared" si="6"/>
        <v>-881436</v>
      </c>
      <c r="Q21" s="91"/>
    </row>
    <row r="22" spans="1:17">
      <c r="A22" s="92"/>
      <c r="B22" s="92"/>
      <c r="C22" s="99"/>
      <c r="D22" s="95"/>
      <c r="E22" s="95"/>
      <c r="F22" s="99"/>
      <c r="G22" s="99"/>
      <c r="H22" s="100"/>
      <c r="I22" s="69">
        <f>F22-G22</f>
        <v>0</v>
      </c>
      <c r="J22" s="55"/>
      <c r="K22" s="55"/>
      <c r="L22" s="55"/>
      <c r="M22" s="55"/>
      <c r="N22" s="55"/>
      <c r="O22" s="55"/>
      <c r="Q22" s="91"/>
    </row>
    <row r="23" spans="1:17">
      <c r="A23" s="101"/>
      <c r="B23" s="65" t="s">
        <v>108</v>
      </c>
      <c r="C23" s="102">
        <f>(C11+C15+C21)</f>
        <v>-13876.300000000003</v>
      </c>
      <c r="D23" s="102">
        <f t="shared" ref="D23:O23" si="7">(D11+D15+D21)</f>
        <v>-18876.300000000003</v>
      </c>
      <c r="E23" s="102">
        <f t="shared" si="7"/>
        <v>37123.699999999997</v>
      </c>
      <c r="F23" s="102">
        <f t="shared" si="7"/>
        <v>386123.7</v>
      </c>
      <c r="G23" s="102">
        <f t="shared" si="7"/>
        <v>186123.7</v>
      </c>
      <c r="H23" s="102">
        <f t="shared" si="7"/>
        <v>-18876.300000000003</v>
      </c>
      <c r="I23" s="102">
        <f t="shared" si="7"/>
        <v>-42837.5</v>
      </c>
      <c r="J23" s="102">
        <f t="shared" si="7"/>
        <v>70123.700000000012</v>
      </c>
      <c r="K23" s="102">
        <f t="shared" si="7"/>
        <v>234123.7</v>
      </c>
      <c r="L23" s="102">
        <f t="shared" si="7"/>
        <v>454123.7</v>
      </c>
      <c r="M23" s="102">
        <f t="shared" si="7"/>
        <v>6123.6999999999971</v>
      </c>
      <c r="N23" s="102">
        <f t="shared" si="7"/>
        <v>-166376.29999999999</v>
      </c>
      <c r="O23" s="102">
        <f t="shared" si="7"/>
        <v>1113023.2</v>
      </c>
      <c r="Q23" s="91"/>
    </row>
    <row r="24" spans="1:17">
      <c r="A24" s="101"/>
      <c r="B24" s="97"/>
      <c r="C24" s="78"/>
      <c r="D24" s="103"/>
      <c r="E24" s="103"/>
      <c r="G24" s="78"/>
      <c r="H24" s="96"/>
      <c r="I24" s="69">
        <f>F24-G24</f>
        <v>0</v>
      </c>
      <c r="Q24" s="91"/>
    </row>
    <row r="25" spans="1:17">
      <c r="A25" s="85" t="s">
        <v>109</v>
      </c>
      <c r="B25" s="97"/>
      <c r="C25" s="67">
        <f>SUM(Kostnadsspes.!B76:B77)</f>
        <v>2400</v>
      </c>
      <c r="D25" s="67">
        <f>SUM(Kostnadsspes.!C76:C77)</f>
        <v>2400</v>
      </c>
      <c r="E25" s="67">
        <f>SUM(Kostnadsspes.!D76:D77)</f>
        <v>2400</v>
      </c>
      <c r="F25" s="67">
        <f>SUM(Kostnadsspes.!E76:E77)</f>
        <v>2400</v>
      </c>
      <c r="G25" s="67">
        <f>SUM(Kostnadsspes.!F76:F77)</f>
        <v>2400</v>
      </c>
      <c r="H25" s="67">
        <f>SUM(Kostnadsspes.!G76:G77)</f>
        <v>2400</v>
      </c>
      <c r="I25" s="67">
        <f>SUM(Kostnadsspes.!H76:H77)</f>
        <v>2400</v>
      </c>
      <c r="J25" s="67">
        <f>SUM(Kostnadsspes.!I76:I77)</f>
        <v>2400</v>
      </c>
      <c r="K25" s="67">
        <f>SUM(Kostnadsspes.!J76:J77)</f>
        <v>2400</v>
      </c>
      <c r="L25" s="67">
        <f>SUM(Kostnadsspes.!K76:K77)</f>
        <v>2400</v>
      </c>
      <c r="M25" s="67">
        <f>SUM(Kostnadsspes.!L76:L77)</f>
        <v>2400</v>
      </c>
      <c r="N25" s="67">
        <f>SUM(Kostnadsspes.!M76:M77)</f>
        <v>2400</v>
      </c>
      <c r="O25" s="67">
        <f>SUM(Kostnadsspes.!N76:N77)</f>
        <v>28800</v>
      </c>
      <c r="Q25" s="91"/>
    </row>
    <row r="26" spans="1:17" s="55" customFormat="1">
      <c r="A26" s="85" t="s">
        <v>110</v>
      </c>
      <c r="B26" s="97"/>
      <c r="C26" s="73">
        <f>SUM(Kostnadsspes.!B78:B80)</f>
        <v>-4300</v>
      </c>
      <c r="D26" s="73">
        <f>SUM(Kostnadsspes.!C78:C80)</f>
        <v>-4300</v>
      </c>
      <c r="E26" s="73">
        <f>SUM(Kostnadsspes.!D78:D80)</f>
        <v>-4300</v>
      </c>
      <c r="F26" s="73">
        <f>SUM(Kostnadsspes.!E78:E80)</f>
        <v>-4300</v>
      </c>
      <c r="G26" s="73">
        <f>SUM(Kostnadsspes.!F78:F80)</f>
        <v>-4300</v>
      </c>
      <c r="H26" s="73">
        <f>SUM(Kostnadsspes.!G78:G80)</f>
        <v>-4300</v>
      </c>
      <c r="I26" s="73">
        <f>SUM(Kostnadsspes.!H78:H80)</f>
        <v>-4300</v>
      </c>
      <c r="J26" s="73">
        <f>SUM(Kostnadsspes.!I78:I80)</f>
        <v>-4300</v>
      </c>
      <c r="K26" s="73">
        <f>SUM(Kostnadsspes.!J78:J80)</f>
        <v>-4300</v>
      </c>
      <c r="L26" s="73">
        <f>SUM(Kostnadsspes.!K78:K80)</f>
        <v>-4300</v>
      </c>
      <c r="M26" s="73">
        <f>SUM(Kostnadsspes.!L78:L80)</f>
        <v>-4300</v>
      </c>
      <c r="N26" s="73">
        <f>SUM(Kostnadsspes.!M78:M80)</f>
        <v>-4300</v>
      </c>
      <c r="O26" s="73">
        <f>SUM(Kostnadsspes.!N78:N80)</f>
        <v>-51600</v>
      </c>
      <c r="Q26" s="91"/>
    </row>
    <row r="27" spans="1:17" s="55" customFormat="1">
      <c r="A27" s="92"/>
      <c r="B27" s="65" t="s">
        <v>111</v>
      </c>
      <c r="C27" s="75">
        <f>SUM(C25:C26)</f>
        <v>-1900</v>
      </c>
      <c r="D27" s="75">
        <f t="shared" ref="D27:O27" si="8">SUM(D25:D26)</f>
        <v>-1900</v>
      </c>
      <c r="E27" s="75">
        <f t="shared" si="8"/>
        <v>-1900</v>
      </c>
      <c r="F27" s="75">
        <f t="shared" si="8"/>
        <v>-1900</v>
      </c>
      <c r="G27" s="75">
        <f t="shared" si="8"/>
        <v>-1900</v>
      </c>
      <c r="H27" s="75">
        <f t="shared" si="8"/>
        <v>-1900</v>
      </c>
      <c r="I27" s="75">
        <f t="shared" si="8"/>
        <v>-1900</v>
      </c>
      <c r="J27" s="75">
        <f t="shared" si="8"/>
        <v>-1900</v>
      </c>
      <c r="K27" s="75">
        <f t="shared" si="8"/>
        <v>-1900</v>
      </c>
      <c r="L27" s="75">
        <f t="shared" si="8"/>
        <v>-1900</v>
      </c>
      <c r="M27" s="75">
        <f t="shared" si="8"/>
        <v>-1900</v>
      </c>
      <c r="N27" s="75">
        <f t="shared" si="8"/>
        <v>-1900</v>
      </c>
      <c r="O27" s="75">
        <f t="shared" si="8"/>
        <v>-22800</v>
      </c>
      <c r="Q27" s="91"/>
    </row>
    <row r="28" spans="1:17" s="55" customFormat="1">
      <c r="A28" s="97"/>
      <c r="B28" s="85"/>
      <c r="C28" s="68"/>
      <c r="D28" s="5"/>
      <c r="E28" s="5"/>
      <c r="F28" s="86"/>
      <c r="G28" s="68"/>
      <c r="H28" s="96"/>
      <c r="I28" s="69"/>
      <c r="J28" s="5"/>
      <c r="K28" s="5"/>
      <c r="L28" s="5"/>
      <c r="M28" s="5"/>
      <c r="N28" s="5"/>
      <c r="O28" s="5"/>
      <c r="Q28" s="91"/>
    </row>
    <row r="29" spans="1:17">
      <c r="A29" s="85"/>
      <c r="B29" s="85"/>
      <c r="C29" s="68"/>
      <c r="G29" s="68"/>
      <c r="H29" s="96"/>
      <c r="I29" s="69"/>
      <c r="Q29" s="91"/>
    </row>
    <row r="30" spans="1:17" ht="13.5" thickBot="1">
      <c r="A30" s="104" t="s">
        <v>112</v>
      </c>
      <c r="B30" s="104"/>
      <c r="C30" s="105">
        <f>C23+C27</f>
        <v>-15776.300000000003</v>
      </c>
      <c r="D30" s="105">
        <f t="shared" ref="D30:O30" si="9">D23+D27</f>
        <v>-20776.300000000003</v>
      </c>
      <c r="E30" s="105">
        <f t="shared" si="9"/>
        <v>35223.699999999997</v>
      </c>
      <c r="F30" s="105">
        <f t="shared" si="9"/>
        <v>384223.7</v>
      </c>
      <c r="G30" s="105">
        <f t="shared" si="9"/>
        <v>184223.7</v>
      </c>
      <c r="H30" s="105">
        <f t="shared" si="9"/>
        <v>-20776.300000000003</v>
      </c>
      <c r="I30" s="105">
        <f t="shared" si="9"/>
        <v>-44737.5</v>
      </c>
      <c r="J30" s="105">
        <f t="shared" si="9"/>
        <v>68223.700000000012</v>
      </c>
      <c r="K30" s="105">
        <f t="shared" si="9"/>
        <v>232223.7</v>
      </c>
      <c r="L30" s="105">
        <f t="shared" si="9"/>
        <v>452223.7</v>
      </c>
      <c r="M30" s="105">
        <f t="shared" si="9"/>
        <v>4223.6999999999971</v>
      </c>
      <c r="N30" s="105">
        <f t="shared" si="9"/>
        <v>-168276.3</v>
      </c>
      <c r="O30" s="105">
        <f t="shared" si="9"/>
        <v>1090223.2</v>
      </c>
      <c r="Q30" s="91"/>
    </row>
    <row r="31" spans="1:17" ht="13.5" thickTop="1">
      <c r="Q31" s="91"/>
    </row>
    <row r="32" spans="1:17" s="55" customFormat="1">
      <c r="Q32" s="91"/>
    </row>
    <row r="33" spans="1:17">
      <c r="Q33" s="91"/>
    </row>
    <row r="34" spans="1:17">
      <c r="Q34" s="91"/>
    </row>
    <row r="35" spans="1:17" s="33" customFormat="1">
      <c r="Q35" s="91"/>
    </row>
    <row r="36" spans="1:17">
      <c r="A36" s="55"/>
      <c r="H36" s="107"/>
    </row>
    <row r="37" spans="1:17">
      <c r="A37" s="55"/>
      <c r="H37" s="107"/>
    </row>
    <row r="38" spans="1:17" s="34" customFormat="1">
      <c r="A38" s="33"/>
      <c r="B38" s="33"/>
      <c r="C38" s="33"/>
      <c r="D38" s="33"/>
      <c r="E38" s="33"/>
      <c r="F38" s="67"/>
      <c r="G38" s="67"/>
      <c r="H38" s="107"/>
    </row>
    <row r="39" spans="1:17" s="34" customFormat="1">
      <c r="A39" s="33"/>
      <c r="B39" s="33"/>
      <c r="C39" s="33"/>
      <c r="D39" s="33"/>
      <c r="E39" s="33"/>
      <c r="F39" s="67"/>
      <c r="G39" s="67"/>
      <c r="H39" s="107"/>
    </row>
    <row r="40" spans="1:17" s="34" customFormat="1">
      <c r="A40" s="33"/>
      <c r="F40" s="89"/>
      <c r="G40" s="89"/>
      <c r="H40" s="107"/>
    </row>
    <row r="41" spans="1:17" s="34" customFormat="1">
      <c r="A41" s="33"/>
      <c r="F41" s="108"/>
      <c r="G41" s="108"/>
      <c r="H41" s="107"/>
      <c r="I41" s="109"/>
    </row>
    <row r="42" spans="1:17" s="34" customFormat="1">
      <c r="F42" s="89"/>
      <c r="G42" s="89"/>
      <c r="H42" s="107"/>
    </row>
    <row r="45" spans="1:17" s="34" customFormat="1">
      <c r="F45" s="89"/>
      <c r="G45" s="89"/>
      <c r="H45" s="107"/>
    </row>
    <row r="46" spans="1:17" s="34" customFormat="1">
      <c r="F46" s="89"/>
      <c r="G46" s="89"/>
      <c r="H46" s="107"/>
    </row>
    <row r="47" spans="1:17">
      <c r="H47" s="107"/>
    </row>
  </sheetData>
  <phoneticPr fontId="0" type="noConversion"/>
  <pageMargins left="0.78740157499999996" right="0.27" top="0.984251969" bottom="0.984251969" header="0.5" footer="0.5"/>
  <pageSetup paperSize="9" scale="78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4BD4340B10D7479DF973532123505C" ma:contentTypeVersion="6" ma:contentTypeDescription="Opprett et nytt dokument." ma:contentTypeScope="" ma:versionID="0c4fc0c2425523673ea69d55cd39f801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3ada6c75e120d3794255ffc570724828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7BF941-3DE2-430E-ABE8-453AB442F8BD}"/>
</file>

<file path=customXml/itemProps2.xml><?xml version="1.0" encoding="utf-8"?>
<ds:datastoreItem xmlns:ds="http://schemas.openxmlformats.org/officeDocument/2006/customXml" ds:itemID="{8A10E9D0-C5C5-46F6-9E5F-C1B691A0E27C}"/>
</file>

<file path=customXml/itemProps3.xml><?xml version="1.0" encoding="utf-8"?>
<ds:datastoreItem xmlns:ds="http://schemas.openxmlformats.org/officeDocument/2006/customXml" ds:itemID="{36693CA0-DD4A-4950-B417-1A3D8D23F2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Budsjett lønnskostnader</dc:title>
  <dc:subject/>
  <dc:creator>Bjørg Dalane</dc:creator>
  <cp:keywords/>
  <dc:description/>
  <cp:lastModifiedBy>Jannicke Lundgaard</cp:lastModifiedBy>
  <cp:revision/>
  <dcterms:created xsi:type="dcterms:W3CDTF">1998-06-07T17:48:00Z</dcterms:created>
  <dcterms:modified xsi:type="dcterms:W3CDTF">2020-10-14T08:30:36Z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0x010100984BD4340B10D7479DF973532123505C</vt:lpwstr>
  </property>
  <property fmtid="{D5CDD505-2E9C-101B-9397-08002B2CF9AE}" pid="3" name="VirkeDefaultSpråktre">
    <vt:lpwstr>18;#Budsjett|05065764-9220-4a96-b77d-aa7c8b8842df;#19;#Økonomi|e2fa8ac0-21da-4d6a-9ce7-8e19bddb5e65;#4;#Lønn|1c358438-9513-4e50-a359-a065c8d5b845</vt:lpwstr>
  </property>
  <property fmtid="{D5CDD505-2E9C-101B-9397-08002B2CF9AE}" pid="4" name="BackOfficeType">
    <vt:lpwstr>growBusiness Solutions</vt:lpwstr>
  </property>
  <property fmtid="{D5CDD505-2E9C-101B-9397-08002B2CF9AE}" pid="5" name="Server">
    <vt:lpwstr>360virke</vt:lpwstr>
  </property>
  <property fmtid="{D5CDD505-2E9C-101B-9397-08002B2CF9AE}" pid="6" name="Protocol">
    <vt:lpwstr>off</vt:lpwstr>
  </property>
  <property fmtid="{D5CDD505-2E9C-101B-9397-08002B2CF9AE}" pid="7" name="Site">
    <vt:lpwstr>/locator.aspx</vt:lpwstr>
  </property>
  <property fmtid="{D5CDD505-2E9C-101B-9397-08002B2CF9AE}" pid="8" name="FileID">
    <vt:lpwstr>877143</vt:lpwstr>
  </property>
  <property fmtid="{D5CDD505-2E9C-101B-9397-08002B2CF9AE}" pid="9" name="VerID">
    <vt:lpwstr>0</vt:lpwstr>
  </property>
  <property fmtid="{D5CDD505-2E9C-101B-9397-08002B2CF9AE}" pid="10" name="FilePath">
    <vt:lpwstr>\\n10os2swb156\360users\work\n10\102600jalu</vt:lpwstr>
  </property>
  <property fmtid="{D5CDD505-2E9C-101B-9397-08002B2CF9AE}" pid="11" name="FileName">
    <vt:lpwstr>17-4819 Budsjett lønnskostnader - 1025 877143_704947_0.XLSM</vt:lpwstr>
  </property>
  <property fmtid="{D5CDD505-2E9C-101B-9397-08002B2CF9AE}" pid="12" name="FullFileName">
    <vt:lpwstr>\\n10os2swb156\360users\work\n10\102600jalu\17-4819 Budsjett lønnskostnader - 1025 877143_704947_0.XLSM</vt:lpwstr>
  </property>
</Properties>
</file>